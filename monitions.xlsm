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67826\04_PERSO\04_monitions\"/>
    </mc:Choice>
  </mc:AlternateContent>
  <xr:revisionPtr revIDLastSave="0" documentId="13_ncr:1_{F3DB17B2-F307-4818-A455-E1E90C2D602E}" xr6:coauthVersionLast="47" xr6:coauthVersionMax="47" xr10:uidLastSave="{00000000-0000-0000-0000-000000000000}"/>
  <bookViews>
    <workbookView xWindow="-108" yWindow="-108" windowWidth="23256" windowHeight="12576" activeTab="1" xr2:uid="{AB981156-4B27-4CE0-A9DB-25F7864F32F7}"/>
  </bookViews>
  <sheets>
    <sheet name="Feuil1" sheetId="1" r:id="rId1"/>
    <sheet name="Feuil2" sheetId="3" r:id="rId2"/>
  </sheets>
  <functionGroups builtInGroupCount="19"/>
  <definedNames>
    <definedName name="_xleta.DAY" hidden="1" xlm="1">#NAME?</definedName>
    <definedName name="_xleta.IF" hidden="1" xlm="1">#NAME?</definedName>
    <definedName name="_xleta.NOT" hidden="1" xlm="1">#NAME?</definedName>
    <definedName name="_xleta.TODAY" hidden="1" xlm="1">#NAME?</definedName>
    <definedName name="_xleta.YEAR" hidden="1" xlm="1">#NAME?</definedName>
    <definedName name="_xlpm.a" hidden="1" xlm="1">#NAME?</definedName>
    <definedName name="_xlpm.b" hidden="1" xlm="1">#NAME?</definedName>
    <definedName name="_xlpm.c" hidden="1" xlm="1">#NAME?</definedName>
    <definedName name="_xlpm.d" hidden="1" xlm="1">#NAME?</definedName>
    <definedName name="_xlpm.e" hidden="1" xlm="1">#NAME?</definedName>
    <definedName name="_xlpm.f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jour" hidden="1" xlm="1">#NAME?</definedName>
    <definedName name="_xlpm.k" hidden="1" xlm="1">#NAME?</definedName>
    <definedName name="_xlpm.l" hidden="1" xlm="1">#NAME?</definedName>
    <definedName name="_xlpm.m" hidden="1" xlm="1">#NAME?</definedName>
    <definedName name="_xlpm.moi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" l="1"/>
  <c r="O1" i="3"/>
  <c r="H87" i="3"/>
  <c r="G91" i="3"/>
  <c r="H99" i="1"/>
  <c r="I99" i="1"/>
  <c r="E99" i="1"/>
  <c r="F99" i="1"/>
  <c r="G94" i="3"/>
  <c r="G92" i="3"/>
  <c r="G90" i="3"/>
  <c r="G89" i="3"/>
  <c r="G95" i="3"/>
  <c r="G96" i="3"/>
  <c r="G97" i="3"/>
  <c r="G98" i="3"/>
  <c r="G99" i="3"/>
  <c r="H88" i="3"/>
  <c r="F44" i="1"/>
  <c r="AA44" i="1"/>
  <c r="Z44" i="1"/>
  <c r="X44" i="1"/>
  <c r="W44" i="1"/>
  <c r="U44" i="1"/>
  <c r="T44" i="1"/>
  <c r="R44" i="1"/>
  <c r="Q44" i="1"/>
  <c r="O44" i="1"/>
  <c r="N44" i="1"/>
  <c r="L44" i="1"/>
  <c r="K44" i="1"/>
  <c r="I44" i="1"/>
  <c r="H44" i="1"/>
  <c r="E44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I89" i="1"/>
  <c r="H89" i="1"/>
  <c r="F89" i="1"/>
  <c r="E89" i="1"/>
  <c r="F56" i="1"/>
  <c r="E56" i="1"/>
  <c r="F54" i="1"/>
  <c r="E54" i="1"/>
  <c r="H45" i="1"/>
  <c r="I45" i="1" s="1"/>
  <c r="F46" i="1"/>
  <c r="E46" i="1"/>
  <c r="F45" i="1"/>
  <c r="E45" i="1"/>
  <c r="H42" i="1"/>
  <c r="I42" i="1"/>
  <c r="H43" i="1"/>
  <c r="I43" i="1"/>
  <c r="F42" i="1"/>
  <c r="F43" i="1"/>
  <c r="E42" i="1"/>
  <c r="E43" i="1"/>
  <c r="I41" i="1"/>
  <c r="H41" i="1"/>
  <c r="F41" i="1"/>
  <c r="E41" i="1"/>
  <c r="H33" i="1"/>
  <c r="I33" i="1" s="1"/>
  <c r="F33" i="1"/>
  <c r="E33" i="1"/>
  <c r="I18" i="1"/>
  <c r="H18" i="1"/>
  <c r="I17" i="1"/>
  <c r="H17" i="1"/>
  <c r="F18" i="1"/>
  <c r="E18" i="1"/>
  <c r="F17" i="1"/>
  <c r="E17" i="1"/>
  <c r="H11" i="1"/>
  <c r="I11" i="1"/>
  <c r="H12" i="1"/>
  <c r="I12" i="1"/>
  <c r="H13" i="1"/>
  <c r="I13" i="1"/>
  <c r="I10" i="1"/>
  <c r="H10" i="1"/>
  <c r="E12" i="1"/>
  <c r="F12" i="1"/>
  <c r="E13" i="1"/>
  <c r="F13" i="1"/>
  <c r="E14" i="1"/>
  <c r="F14" i="1"/>
  <c r="E15" i="1"/>
  <c r="F15" i="1"/>
  <c r="F11" i="1"/>
  <c r="E11" i="1"/>
  <c r="F10" i="1"/>
  <c r="E10" i="1"/>
  <c r="C35" i="3"/>
  <c r="C36" i="3" s="1"/>
  <c r="C37" i="3" s="1"/>
  <c r="C38" i="3" s="1"/>
  <c r="C26" i="3"/>
  <c r="C27" i="3" s="1"/>
  <c r="C28" i="3" s="1"/>
  <c r="C29" i="3" s="1"/>
  <c r="C30" i="3" s="1"/>
  <c r="A5" i="3" l="1"/>
  <c r="B105" i="3" s="1"/>
  <c r="E45" i="3" l="1"/>
  <c r="E33" i="3" s="1"/>
  <c r="E89" i="3"/>
  <c r="E99" i="3"/>
  <c r="E16" i="3"/>
  <c r="E90" i="3"/>
  <c r="E94" i="3"/>
  <c r="H94" i="3" s="1"/>
  <c r="C94" i="1" s="1"/>
  <c r="B94" i="1" s="1"/>
  <c r="E95" i="3"/>
  <c r="H95" i="3" s="1"/>
  <c r="C95" i="1" s="1"/>
  <c r="B95" i="1" s="1"/>
  <c r="E86" i="3"/>
  <c r="E93" i="3"/>
  <c r="E97" i="3"/>
  <c r="H97" i="3" s="1"/>
  <c r="C97" i="1" s="1"/>
  <c r="B97" i="1" s="1"/>
  <c r="E96" i="3"/>
  <c r="H96" i="3" s="1"/>
  <c r="C96" i="1" s="1"/>
  <c r="B96" i="1" s="1"/>
  <c r="E91" i="3"/>
  <c r="H91" i="3" s="1"/>
  <c r="C91" i="1" s="1"/>
  <c r="B91" i="1" s="1"/>
  <c r="E18" i="3"/>
  <c r="E19" i="3" s="1"/>
  <c r="E22" i="3" s="1"/>
  <c r="E98" i="3"/>
  <c r="H98" i="3" s="1"/>
  <c r="C98" i="1" s="1"/>
  <c r="B98" i="1" s="1"/>
  <c r="E6" i="3"/>
  <c r="E7" i="3" s="1"/>
  <c r="E8" i="3" s="1"/>
  <c r="E13" i="3"/>
  <c r="E17" i="3"/>
  <c r="G93" i="3" l="1"/>
  <c r="H93" i="3" s="1"/>
  <c r="C93" i="1" s="1"/>
  <c r="B93" i="1" s="1"/>
  <c r="E85" i="3"/>
  <c r="E92" i="3"/>
  <c r="E36" i="3"/>
  <c r="E44" i="3"/>
  <c r="E55" i="3"/>
  <c r="E41" i="3"/>
  <c r="E51" i="3"/>
  <c r="E43" i="3"/>
  <c r="E34" i="3"/>
  <c r="E56" i="3"/>
  <c r="E54" i="3"/>
  <c r="E46" i="3"/>
  <c r="E53" i="3"/>
  <c r="E49" i="3"/>
  <c r="E57" i="3"/>
  <c r="E37" i="3"/>
  <c r="E52" i="3"/>
  <c r="E50" i="3"/>
  <c r="E42" i="3"/>
  <c r="E58" i="3"/>
  <c r="E38" i="3"/>
  <c r="E59" i="3"/>
  <c r="E35" i="3"/>
  <c r="H89" i="3"/>
  <c r="C89" i="1" s="1"/>
  <c r="B89" i="1" s="1"/>
  <c r="H99" i="3"/>
  <c r="C99" i="1" s="1"/>
  <c r="B99" i="1" s="1"/>
  <c r="H90" i="3"/>
  <c r="C90" i="1" s="1"/>
  <c r="B90" i="1" s="1"/>
  <c r="H92" i="3"/>
  <c r="C92" i="1" s="1"/>
  <c r="B92" i="1" s="1"/>
  <c r="E12" i="3"/>
  <c r="E15" i="3"/>
  <c r="E14" i="3"/>
  <c r="E23" i="3"/>
  <c r="E9" i="3"/>
  <c r="F86" i="3" l="1"/>
  <c r="F85" i="3"/>
  <c r="F9" i="3"/>
  <c r="G9" i="3" s="1"/>
  <c r="H9" i="3" s="1"/>
  <c r="C7" i="1" s="1"/>
  <c r="B7" i="1" s="1"/>
  <c r="F60" i="3"/>
  <c r="G60" i="3" s="1"/>
  <c r="H60" i="3" s="1"/>
  <c r="C60" i="1" s="1"/>
  <c r="B60" i="1" s="1"/>
  <c r="F59" i="3"/>
  <c r="G59" i="3" s="1"/>
  <c r="H59" i="3" s="1"/>
  <c r="C59" i="1" s="1"/>
  <c r="B59" i="1" s="1"/>
  <c r="F20" i="3"/>
  <c r="G20" i="3" s="1"/>
  <c r="H20" i="3" s="1"/>
  <c r="C20" i="1" s="1"/>
  <c r="F7" i="3"/>
  <c r="G7" i="3" s="1"/>
  <c r="H7" i="3" s="1"/>
  <c r="C5" i="1" s="1"/>
  <c r="B5" i="1" s="1"/>
  <c r="F17" i="3"/>
  <c r="G17" i="3" s="1"/>
  <c r="H17" i="3" s="1"/>
  <c r="C17" i="1" s="1"/>
  <c r="B17" i="1" s="1"/>
  <c r="F35" i="3"/>
  <c r="G35" i="3" s="1"/>
  <c r="H35" i="3" s="1"/>
  <c r="C35" i="1" s="1"/>
  <c r="B35" i="1" s="1"/>
  <c r="F53" i="3"/>
  <c r="G53" i="3" s="1"/>
  <c r="H53" i="3" s="1"/>
  <c r="C53" i="1" s="1"/>
  <c r="B53" i="1" s="1"/>
  <c r="F32" i="3"/>
  <c r="G32" i="3" s="1"/>
  <c r="H32" i="3" s="1"/>
  <c r="F6" i="3"/>
  <c r="G6" i="3" s="1"/>
  <c r="H6" i="3" s="1"/>
  <c r="C4" i="1" s="1"/>
  <c r="B4" i="1" s="1"/>
  <c r="F13" i="3"/>
  <c r="G13" i="3" s="1"/>
  <c r="H13" i="3" s="1"/>
  <c r="C12" i="1" s="1"/>
  <c r="H45" i="3"/>
  <c r="C45" i="1" s="1"/>
  <c r="B45" i="1" s="1"/>
  <c r="F47" i="3"/>
  <c r="G47" i="3" s="1"/>
  <c r="H47" i="3" s="1"/>
  <c r="C47" i="1" s="1"/>
  <c r="B47" i="1" s="1"/>
  <c r="F11" i="3"/>
  <c r="G11" i="3" s="1"/>
  <c r="H11" i="3" s="1"/>
  <c r="C9" i="1" s="1"/>
  <c r="F55" i="3"/>
  <c r="G55" i="3" s="1"/>
  <c r="H55" i="3" s="1"/>
  <c r="C55" i="1" s="1"/>
  <c r="B55" i="1" s="1"/>
  <c r="F16" i="3"/>
  <c r="G16" i="3" s="1"/>
  <c r="H16" i="3" s="1"/>
  <c r="C16" i="1" s="1"/>
  <c r="B16" i="1" s="1"/>
  <c r="F48" i="3"/>
  <c r="G48" i="3" s="1"/>
  <c r="H48" i="3" s="1"/>
  <c r="C48" i="1" s="1"/>
  <c r="B48" i="1" s="1"/>
  <c r="F36" i="3"/>
  <c r="G36" i="3" s="1"/>
  <c r="H36" i="3" s="1"/>
  <c r="C36" i="1" s="1"/>
  <c r="B36" i="1" s="1"/>
  <c r="H42" i="3"/>
  <c r="C42" i="1" s="1"/>
  <c r="B42" i="1" s="1"/>
  <c r="F31" i="3"/>
  <c r="G31" i="3" s="1"/>
  <c r="H31" i="3" s="1"/>
  <c r="F52" i="3"/>
  <c r="G52" i="3" s="1"/>
  <c r="H52" i="3" s="1"/>
  <c r="C52" i="1" s="1"/>
  <c r="B52" i="1" s="1"/>
  <c r="H43" i="3"/>
  <c r="C43" i="1" s="1"/>
  <c r="B43" i="1" s="1"/>
  <c r="G57" i="3"/>
  <c r="H57" i="3" s="1"/>
  <c r="C57" i="1" s="1"/>
  <c r="B57" i="1" s="1"/>
  <c r="F19" i="3"/>
  <c r="G19" i="3" s="1"/>
  <c r="H19" i="3" s="1"/>
  <c r="C19" i="1" s="1"/>
  <c r="B19" i="1" s="1"/>
  <c r="F38" i="3"/>
  <c r="G38" i="3" s="1"/>
  <c r="H38" i="3" s="1"/>
  <c r="C38" i="1" s="1"/>
  <c r="B38" i="1" s="1"/>
  <c r="F34" i="3"/>
  <c r="G34" i="3" s="1"/>
  <c r="H34" i="3" s="1"/>
  <c r="C34" i="1" s="1"/>
  <c r="B34" i="1" s="1"/>
  <c r="H46" i="3"/>
  <c r="C46" i="1" s="1"/>
  <c r="B46" i="1" s="1"/>
  <c r="G58" i="3"/>
  <c r="H58" i="3" s="1"/>
  <c r="C58" i="1" s="1"/>
  <c r="B58" i="1" s="1"/>
  <c r="F21" i="3"/>
  <c r="G21" i="3" s="1"/>
  <c r="H21" i="3" s="1"/>
  <c r="C21" i="1" s="1"/>
  <c r="F50" i="3"/>
  <c r="G50" i="3" s="1"/>
  <c r="H50" i="3" s="1"/>
  <c r="C50" i="1" s="1"/>
  <c r="B50" i="1" s="1"/>
  <c r="G85" i="3"/>
  <c r="H41" i="3"/>
  <c r="C41" i="1" s="1"/>
  <c r="B41" i="1" s="1"/>
  <c r="F22" i="3"/>
  <c r="F37" i="3"/>
  <c r="G37" i="3" s="1"/>
  <c r="H37" i="3" s="1"/>
  <c r="C37" i="1" s="1"/>
  <c r="B37" i="1" s="1"/>
  <c r="F39" i="3"/>
  <c r="G39" i="3" s="1"/>
  <c r="H39" i="3" s="1"/>
  <c r="C39" i="1" s="1"/>
  <c r="B39" i="1" s="1"/>
  <c r="F18" i="3"/>
  <c r="G18" i="3" s="1"/>
  <c r="H18" i="3" s="1"/>
  <c r="C18" i="1" s="1"/>
  <c r="B18" i="1" s="1"/>
  <c r="F8" i="3"/>
  <c r="G8" i="3" s="1"/>
  <c r="H8" i="3" s="1"/>
  <c r="C6" i="1" s="1"/>
  <c r="B6" i="1" s="1"/>
  <c r="F51" i="3"/>
  <c r="G51" i="3" s="1"/>
  <c r="H51" i="3" s="1"/>
  <c r="C51" i="1" s="1"/>
  <c r="B51" i="1" s="1"/>
  <c r="G56" i="3"/>
  <c r="H56" i="3" s="1"/>
  <c r="C56" i="1" s="1"/>
  <c r="B56" i="1" s="1"/>
  <c r="F61" i="3"/>
  <c r="G61" i="3" s="1"/>
  <c r="H61" i="3" s="1"/>
  <c r="C61" i="1" s="1"/>
  <c r="B61" i="1" s="1"/>
  <c r="F54" i="3"/>
  <c r="H54" i="3" s="1"/>
  <c r="C54" i="1" s="1"/>
  <c r="B54" i="1" s="1"/>
  <c r="H44" i="3"/>
  <c r="C44" i="1" s="1"/>
  <c r="B44" i="1" s="1"/>
  <c r="F33" i="3"/>
  <c r="G33" i="3" s="1"/>
  <c r="H33" i="3" s="1"/>
  <c r="C33" i="1" s="1"/>
  <c r="B33" i="1" s="1"/>
  <c r="G86" i="3"/>
  <c r="F40" i="3"/>
  <c r="G40" i="3" s="1"/>
  <c r="H40" i="3" s="1"/>
  <c r="C40" i="1" s="1"/>
  <c r="B40" i="1" s="1"/>
  <c r="F49" i="3"/>
  <c r="G49" i="3" s="1"/>
  <c r="H49" i="3" s="1"/>
  <c r="C49" i="1" s="1"/>
  <c r="B49" i="1" s="1"/>
  <c r="F12" i="3"/>
  <c r="G12" i="3" s="1"/>
  <c r="H12" i="3" s="1"/>
  <c r="C10" i="1" s="1"/>
  <c r="C11" i="1" s="1"/>
  <c r="B11" i="1" s="1"/>
  <c r="F15" i="3"/>
  <c r="G15" i="3" s="1"/>
  <c r="H15" i="3" s="1"/>
  <c r="C15" i="1" s="1"/>
  <c r="B15" i="1" s="1"/>
  <c r="F14" i="3"/>
  <c r="G14" i="3" s="1"/>
  <c r="H14" i="3" s="1"/>
  <c r="C14" i="1" s="1"/>
  <c r="B14" i="1" s="1"/>
  <c r="E30" i="3"/>
  <c r="G30" i="3" s="1"/>
  <c r="F23" i="3"/>
  <c r="E24" i="3"/>
  <c r="G22" i="3" l="1"/>
  <c r="H22" i="3" s="1"/>
  <c r="C22" i="1" s="1"/>
  <c r="B22" i="1" s="1"/>
  <c r="B10" i="1"/>
  <c r="B12" i="1"/>
  <c r="C13" i="1"/>
  <c r="B13" i="1" s="1"/>
  <c r="G23" i="3"/>
  <c r="H23" i="3" s="1"/>
  <c r="C23" i="1" s="1"/>
  <c r="B23" i="1" s="1"/>
  <c r="H86" i="3"/>
  <c r="C86" i="1" s="1"/>
  <c r="B86" i="1" s="1"/>
  <c r="H85" i="3"/>
  <c r="C85" i="1" s="1"/>
  <c r="B85" i="1" s="1"/>
  <c r="F24" i="3"/>
  <c r="F30" i="3"/>
  <c r="H30" i="3" s="1"/>
  <c r="C30" i="1" s="1"/>
  <c r="B30" i="1" s="1"/>
  <c r="E25" i="3"/>
  <c r="G24" i="3" l="1"/>
  <c r="H24" i="3" s="1"/>
  <c r="C24" i="1" s="1"/>
  <c r="B24" i="1" s="1"/>
  <c r="F25" i="3"/>
  <c r="E26" i="3"/>
  <c r="E27" i="3" l="1"/>
  <c r="E28" i="3" s="1"/>
  <c r="E29" i="3" s="1"/>
  <c r="G25" i="3"/>
  <c r="H25" i="3" s="1"/>
  <c r="C25" i="1" s="1"/>
  <c r="B25" i="1" s="1"/>
  <c r="F26" i="3"/>
  <c r="E84" i="3"/>
  <c r="F84" i="3" s="1"/>
  <c r="G26" i="3" l="1"/>
  <c r="H26" i="3" s="1"/>
  <c r="C26" i="1" s="1"/>
  <c r="B26" i="1" s="1"/>
  <c r="G84" i="3"/>
  <c r="E83" i="3"/>
  <c r="F83" i="3" s="1"/>
  <c r="G83" i="3" l="1"/>
  <c r="H84" i="3"/>
  <c r="C84" i="1" s="1"/>
  <c r="B84" i="1" s="1"/>
  <c r="E82" i="3"/>
  <c r="F82" i="3" s="1"/>
  <c r="G82" i="3" l="1"/>
  <c r="H83" i="3"/>
  <c r="C83" i="1" s="1"/>
  <c r="B83" i="1" s="1"/>
  <c r="E81" i="3"/>
  <c r="F81" i="3" s="1"/>
  <c r="G81" i="3" l="1"/>
  <c r="H82" i="3"/>
  <c r="C82" i="1" s="1"/>
  <c r="B82" i="1" s="1"/>
  <c r="E80" i="3"/>
  <c r="F80" i="3" s="1"/>
  <c r="G80" i="3" l="1"/>
  <c r="H81" i="3"/>
  <c r="C81" i="1" s="1"/>
  <c r="B81" i="1" s="1"/>
  <c r="E79" i="3"/>
  <c r="F79" i="3" s="1"/>
  <c r="G79" i="3" l="1"/>
  <c r="H80" i="3"/>
  <c r="C80" i="1" s="1"/>
  <c r="B80" i="1" s="1"/>
  <c r="E78" i="3"/>
  <c r="F78" i="3" s="1"/>
  <c r="G78" i="3" l="1"/>
  <c r="H79" i="3"/>
  <c r="C79" i="1" s="1"/>
  <c r="B79" i="1" s="1"/>
  <c r="E77" i="3"/>
  <c r="F77" i="3" s="1"/>
  <c r="G77" i="3" l="1"/>
  <c r="H78" i="3"/>
  <c r="C78" i="1" s="1"/>
  <c r="B78" i="1" s="1"/>
  <c r="E76" i="3"/>
  <c r="F76" i="3" s="1"/>
  <c r="G76" i="3" l="1"/>
  <c r="H77" i="3"/>
  <c r="C77" i="1" s="1"/>
  <c r="B77" i="1" s="1"/>
  <c r="E75" i="3"/>
  <c r="F75" i="3" s="1"/>
  <c r="G75" i="3" l="1"/>
  <c r="H76" i="3"/>
  <c r="C76" i="1" s="1"/>
  <c r="B76" i="1" s="1"/>
  <c r="E74" i="3"/>
  <c r="F74" i="3" s="1"/>
  <c r="G74" i="3" l="1"/>
  <c r="H75" i="3"/>
  <c r="C75" i="1" s="1"/>
  <c r="B75" i="1" s="1"/>
  <c r="E73" i="3"/>
  <c r="F73" i="3" s="1"/>
  <c r="G73" i="3" l="1"/>
  <c r="H74" i="3"/>
  <c r="C74" i="1" s="1"/>
  <c r="B74" i="1" s="1"/>
  <c r="E72" i="3"/>
  <c r="F72" i="3" s="1"/>
  <c r="G72" i="3" l="1"/>
  <c r="H73" i="3"/>
  <c r="C73" i="1" s="1"/>
  <c r="B73" i="1" s="1"/>
  <c r="E71" i="3"/>
  <c r="F71" i="3" s="1"/>
  <c r="G71" i="3" l="1"/>
  <c r="H72" i="3"/>
  <c r="C72" i="1" s="1"/>
  <c r="B72" i="1" s="1"/>
  <c r="E70" i="3"/>
  <c r="F70" i="3" s="1"/>
  <c r="G70" i="3" l="1"/>
  <c r="H71" i="3"/>
  <c r="C71" i="1" s="1"/>
  <c r="B71" i="1" s="1"/>
  <c r="E69" i="3"/>
  <c r="F69" i="3" s="1"/>
  <c r="G69" i="3" l="1"/>
  <c r="H70" i="3"/>
  <c r="C70" i="1" s="1"/>
  <c r="B70" i="1" s="1"/>
  <c r="E68" i="3"/>
  <c r="F68" i="3" s="1"/>
  <c r="G68" i="3" l="1"/>
  <c r="H69" i="3"/>
  <c r="C69" i="1" s="1"/>
  <c r="B69" i="1" s="1"/>
  <c r="E67" i="3"/>
  <c r="F67" i="3" s="1"/>
  <c r="G67" i="3" l="1"/>
  <c r="H68" i="3"/>
  <c r="C68" i="1" s="1"/>
  <c r="B68" i="1" s="1"/>
  <c r="E66" i="3"/>
  <c r="F66" i="3" s="1"/>
  <c r="G66" i="3" l="1"/>
  <c r="H67" i="3"/>
  <c r="C67" i="1" s="1"/>
  <c r="B67" i="1" s="1"/>
  <c r="E65" i="3"/>
  <c r="F65" i="3" s="1"/>
  <c r="G65" i="3" l="1"/>
  <c r="H66" i="3"/>
  <c r="C66" i="1" s="1"/>
  <c r="B66" i="1" s="1"/>
  <c r="E64" i="3"/>
  <c r="F64" i="3" s="1"/>
  <c r="G64" i="3" l="1"/>
  <c r="H65" i="3"/>
  <c r="C65" i="1" s="1"/>
  <c r="B65" i="1" s="1"/>
  <c r="E63" i="3"/>
  <c r="F63" i="3" s="1"/>
  <c r="G63" i="3" l="1"/>
  <c r="H64" i="3"/>
  <c r="C64" i="1" s="1"/>
  <c r="B64" i="1" s="1"/>
  <c r="E62" i="3"/>
  <c r="F62" i="3" s="1"/>
  <c r="G62" i="3" l="1"/>
  <c r="H63" i="3"/>
  <c r="C63" i="1" s="1"/>
  <c r="B63" i="1" s="1"/>
  <c r="H62" i="3" l="1"/>
  <c r="C62" i="1" s="1"/>
  <c r="B62" i="1" s="1"/>
  <c r="F29" i="3"/>
  <c r="F27" i="3"/>
  <c r="G27" i="3" s="1"/>
  <c r="H27" i="3" s="1"/>
  <c r="C27" i="1" s="1"/>
  <c r="B27" i="1" s="1"/>
  <c r="F28" i="3"/>
  <c r="G29" i="3" l="1"/>
  <c r="H29" i="3" s="1"/>
  <c r="C29" i="1" s="1"/>
  <c r="B29" i="1" s="1"/>
  <c r="G28" i="3"/>
  <c r="H28" i="3" s="1"/>
  <c r="C28" i="1" s="1"/>
  <c r="B28" i="1" s="1"/>
</calcChain>
</file>

<file path=xl/sharedStrings.xml><?xml version="1.0" encoding="utf-8"?>
<sst xmlns="http://schemas.openxmlformats.org/spreadsheetml/2006/main" count="617" uniqueCount="533">
  <si>
    <t>Temps de l’Avent</t>
  </si>
  <si>
    <t>1er dimanche de l’Avent</t>
  </si>
  <si>
    <t>2e dimanche de l’Avent</t>
  </si>
  <si>
    <t>3e dimanche de l’Avent</t>
  </si>
  <si>
    <t>4e dimanche de l’Avent</t>
  </si>
  <si>
    <t>Temps de Noël</t>
  </si>
  <si>
    <t>Messe du matin (24 décembre)</t>
  </si>
  <si>
    <t>Nuit de Noël</t>
  </si>
  <si>
    <t>Messe de l’aurore</t>
  </si>
  <si>
    <t>Messe du jour</t>
  </si>
  <si>
    <t>Marie, Mère de Dieu</t>
  </si>
  <si>
    <t>Baptême du Seigneur</t>
  </si>
  <si>
    <t>Temps Ordinaire – 1ère partie</t>
  </si>
  <si>
    <t>2e dimanche TO</t>
  </si>
  <si>
    <t>3e dimanche TO (Parole de Dieu)</t>
  </si>
  <si>
    <t>4e dimanche TO</t>
  </si>
  <si>
    <t>5e dimanche TO</t>
  </si>
  <si>
    <t>6e dimanche TO</t>
  </si>
  <si>
    <t>7e dimanche TO</t>
  </si>
  <si>
    <t>8e dimanche TO</t>
  </si>
  <si>
    <t>9e dimanche TO (rare)</t>
  </si>
  <si>
    <t>Carême</t>
  </si>
  <si>
    <t>Mercredi des Cendres</t>
  </si>
  <si>
    <t>1er dimanche de Carême</t>
  </si>
  <si>
    <t>2e dimanche de Carême</t>
  </si>
  <si>
    <t>3e dimanche de Carême</t>
  </si>
  <si>
    <t>4e dimanche de Carême</t>
  </si>
  <si>
    <t>5e dimanche de Carême</t>
  </si>
  <si>
    <t>Dimanche des Rameaux et de la Passion</t>
  </si>
  <si>
    <t>Dimanche de Pâques</t>
  </si>
  <si>
    <t>Temps Pascal</t>
  </si>
  <si>
    <t>2e dimanche de Pâques</t>
  </si>
  <si>
    <t>3e dimanche de Pâques</t>
  </si>
  <si>
    <t>4e dimanche de Pâques (Bon Pasteur)</t>
  </si>
  <si>
    <t>5e dimanche de Pâques</t>
  </si>
  <si>
    <t>6e dimanche de Pâques</t>
  </si>
  <si>
    <t>Ascension</t>
  </si>
  <si>
    <t>7e dimanche de Pâques</t>
  </si>
  <si>
    <t>Pentecôte</t>
  </si>
  <si>
    <t>Sacré-Cœur de Jésus</t>
  </si>
  <si>
    <t>Temps Ordinaire – 2e partie</t>
  </si>
  <si>
    <t>10e dimanche TO</t>
  </si>
  <si>
    <t>Christ Roi de l’univers</t>
  </si>
  <si>
    <t>Fêtes fixes</t>
  </si>
  <si>
    <t>Annonciation du Seigneur</t>
  </si>
  <si>
    <t>Jean-Baptiste</t>
  </si>
  <si>
    <t>Transfiguration du Seigneur</t>
  </si>
  <si>
    <t>Assomption de Marie</t>
  </si>
  <si>
    <t>Toussaint</t>
  </si>
  <si>
    <t>Immaculée Conception</t>
  </si>
  <si>
    <t>11e dimanche TO</t>
  </si>
  <si>
    <t>13e dimanche TO</t>
  </si>
  <si>
    <t>12e dimanche TO</t>
  </si>
  <si>
    <t>14e dimanche TO</t>
  </si>
  <si>
    <t>15e dimanche TO</t>
  </si>
  <si>
    <t>16e dimanche TO</t>
  </si>
  <si>
    <t>17e dimanche TO</t>
  </si>
  <si>
    <t>18e dimanche TO</t>
  </si>
  <si>
    <t>19e dimanche TO</t>
  </si>
  <si>
    <t>20e dimanche TO</t>
  </si>
  <si>
    <t>21e dimanche TO</t>
  </si>
  <si>
    <t>22e dimanche TO</t>
  </si>
  <si>
    <t>23e dimanche TO</t>
  </si>
  <si>
    <t>24e dimanche TO</t>
  </si>
  <si>
    <t>25e dimanche TO</t>
  </si>
  <si>
    <t>26e dimanche TO</t>
  </si>
  <si>
    <t>27e dimanche TO</t>
  </si>
  <si>
    <t>28e dimanche TO</t>
  </si>
  <si>
    <t>29e dimanche TO</t>
  </si>
  <si>
    <t>30e dimanche TO</t>
  </si>
  <si>
    <t>31e dimanche TO</t>
  </si>
  <si>
    <t>32e dimanche TO</t>
  </si>
  <si>
    <t>33e dimanche TO</t>
  </si>
  <si>
    <t>Chandeleur</t>
  </si>
  <si>
    <t>Veillée Pascale (toute année)</t>
  </si>
  <si>
    <t>Lundi de Pâques</t>
  </si>
  <si>
    <t>St Étienne</t>
  </si>
  <si>
    <t>St Jean</t>
  </si>
  <si>
    <t>Semaine Ste et Pâques</t>
  </si>
  <si>
    <t>Jeudi St</t>
  </si>
  <si>
    <t>Vendredi St</t>
  </si>
  <si>
    <t>Ste Trinité</t>
  </si>
  <si>
    <t>St-Sacrement (Fête-Dieu)</t>
  </si>
  <si>
    <t>St Joseph</t>
  </si>
  <si>
    <t>Sts Pierre et Paul</t>
  </si>
  <si>
    <t>Exaltation de la Ste Croix</t>
  </si>
  <si>
    <t>1er dimanche TO</t>
  </si>
  <si>
    <t>Veille de Noël</t>
  </si>
  <si>
    <t>Noël</t>
  </si>
  <si>
    <t>St Etienne</t>
  </si>
  <si>
    <t>Marie Mère de Dieu</t>
  </si>
  <si>
    <t>Ste Famille</t>
  </si>
  <si>
    <t>Épiphanie</t>
  </si>
  <si>
    <t>Isaïe 2, 1-5 — Isaïe invite à marcher dans la lumière du Seigneur pour accueillir la paix entre les nations.</t>
  </si>
  <si>
    <t>Isaïe 63,16b–17.19b ; 64,2b-7—  Isaïe supplie Dieu de revenir vers son peuple et d’agir avec puissance pour le sauver.</t>
  </si>
  <si>
    <t>Jérémie 33,14-16 — Dieu annonce des jours de justice : un germe de David sauvera son peuple.</t>
  </si>
  <si>
    <t>Isaïe 11,1-10 — Un rameau de Jessé portera l’Esprit de Dieu et établira un règne de paix et de justice.</t>
  </si>
  <si>
    <t>Baruch 5,1-9 — Dieu conduit son peuple dans la joie, sous la lumière de sa gloire.</t>
  </si>
  <si>
    <t>2 Pierre 3,8-14 — Le Seigneur retarde son retour par miséricorde et appelle à une vie de paix et de sainteté.</t>
  </si>
  <si>
    <t>Philippiens 1,4-11 — St Paul prie pour une foi pure et féconde, en vue du jour du Christ.</t>
  </si>
  <si>
    <t>Isaïe 35,1-6a.10 — La venue du Seigneur transformera le désert, guérira et remplira de joie les cœurs.</t>
  </si>
  <si>
    <t>Isaïe 61,1-2a.10-11 — L’Esprit envoie un messager annoncer la joie, la libération et la justice aux pauvres.</t>
  </si>
  <si>
    <t>Sophonie 3,14-18a — Dieu est au milieu de son peuple, il exulte de joie et le renouvelle.</t>
  </si>
  <si>
    <t>Jacques 5,7-10 — St Jacques appelle à la patience et à la fermeté dans l’attente du Seigneur.</t>
  </si>
  <si>
    <t>1 Thessaloniciens 5,16-24 — St Paul exhorte à vivre dans la joie, la prière et la fidélité jusqu’à la venue du Christ.</t>
  </si>
  <si>
    <t>Philippiens 4,4-7 — Le Seigneur est proche,  vivons dans la joie et la confiance.</t>
  </si>
  <si>
    <t>Isaïe 7, 10-16 — Une vierge enfantera Emmanuel : signe du salut et de la fidélité de Dieu.</t>
  </si>
  <si>
    <t>2 Samuel 7, 1-5.8b-12.14a.16 — Dieu promet à David une maison stable, une descendance royale et un règne sans fin.</t>
  </si>
  <si>
    <t>Michée 5, 1-4a — De Bethléem naîtra le berger d’Israël, fort de la puissance de Dieu.</t>
  </si>
  <si>
    <t>Romains 16, 25-27 — Le mystère de Dieu est révélé pour le salut de toutes les nations</t>
  </si>
  <si>
    <t xml:space="preserve">2 Samuel 7, 1-5.8b-12.14a.16 — Dieu promet à David une maison éternelle, un royaume stable et fidèle qui ne passera pas. </t>
  </si>
  <si>
    <t>Actes 6, 8-10 ; 7, 54-59 — Étienne, rempli de l’Esprit, rend témoignage au Christ jusqu’au martyre, confiant en la miséricorde divine.</t>
  </si>
  <si>
    <t>1 Jean 1, 1-4— St Jean témoigne du Verbe de vie manifesté, et nous appelle à la communion et au pardon par le Christ.</t>
  </si>
  <si>
    <t>Siracide 3, 2-6.12-14 — Celui qui honore ses parents est béni et exaucé.</t>
  </si>
  <si>
    <t>Genèse 15, 1-6 ; 21, 1-3 — Dieu accomplit sa promesse à Abraham en lui donnant une descendance.</t>
  </si>
  <si>
    <t>1 Samuel 1, 20-22.24-28 — Anne consacre son fils Samuel au Seigneur, dans la gratitude.</t>
  </si>
  <si>
    <t>Colossiens 3, 12-21 — St Paul invite à vivre l’harmonie familiale dans l’amour, la patience et la paix du Christ.</t>
  </si>
  <si>
    <t>Hébreux 11, 8.11-12.17-19 — Par sa foi, Abraham devient père d’une multitude et modèle de confiance.</t>
  </si>
  <si>
    <t>1 Jean 3, 1-2.21-24 — L’amour du Père fait de nous ses enfants : gardons ses commandements avec foi.</t>
  </si>
  <si>
    <t>Nombres 6, 22-27 — Dieu bénit son peuple par des paroles de paix, de grâce et de protection.</t>
  </si>
  <si>
    <t>Galates 4, 4-7 — Dieu a envoyé son Fils pour que nous devenions ses enfants et héritiers.</t>
  </si>
  <si>
    <t>Isaïe 60, 1-6 — Jérusalem est appelée à resplendir, car la gloire du Seigneur l’illumine et attire les nations.</t>
  </si>
  <si>
    <t>Éphésiens 3, 2-3a.5-6 — St Paul révèle que les païens partagent la même promesse et la même mission en Christ.</t>
  </si>
  <si>
    <t>Actes 10, 34-38 — Dieu a consacré Jésus par l’Esprit Saint pour annoncer et répandre le bien.</t>
  </si>
  <si>
    <t>Tite 2, 11-14 ; 3, 4-7 — Dieu nous sauve par sa miséricorde et nous renouvelle par son Esprit.</t>
  </si>
  <si>
    <t>1 Corinthiens 7, 29-31 — St Paul, dans sa lettre aux Corinthiens, nous exhorte à vivre détachés des réalités passagères, car le monde tel que nous le connaissons passe.</t>
  </si>
  <si>
    <t>Deutéronome 18, 15-20 — Moïse annonce un prophète fidèle à la parole divine.</t>
  </si>
  <si>
    <t>1 Corinthiens 1, 26-31 — Dieu choisit les faibles pour confondre les forts.</t>
  </si>
  <si>
    <t>1 Corinthiens 12, 31-13, 13 — St Paul, dans sa lettre aux Corinthiens, nous montre que l’amour est le chemin le plus excellent, plus grand que tous les dons spirituels.</t>
  </si>
  <si>
    <t>Isaïe 6, 1-2a.3-8 — Isaïe, saisi par la sainteté de Dieu, se met au service de sa mission.</t>
  </si>
  <si>
    <t>1 Corinthiens 2, 1-5 — St Paul annonce le Christ avec la puissance de l’Esprit.</t>
  </si>
  <si>
    <t>Lévitique 19, 1-2.17-18 — Aime ton prochain comme toi-même, dit le Seigneur à Moïse.</t>
  </si>
  <si>
    <t>1 Samuel 26, 2.7-9.12-13.22-23 — David refuse de tuer Saül, par respect pour le Seigneur.</t>
  </si>
  <si>
    <t>Isaïe 49, 14-15 — Le prophète Isaïe transmet la promesse de Dieu de ne jamais oublier son peuple, comme une mère n'oublie pas son enfant.</t>
  </si>
  <si>
    <t>Osée 2, 16.17b.21-22 — Le Seigneur exprime son amour fidèle envers Israël, le comparant à une alliance nuptiale éternelle.</t>
  </si>
  <si>
    <t>Ben Sira 27, 4-7 — La parole révèle le cœur de l’homme ; les fruits montrent la qualité de l’arbre.</t>
  </si>
  <si>
    <t>Deutéronome 11, 18.26-28.32 — Moïse exhorte le peuple à graver les commandements de Dieu dans leur cœur, pour choisir la bénédiction et non la malédiction.</t>
  </si>
  <si>
    <t>Deutéronome 26, 4-10 — Moïse enseigne au peuple d'Israël la profession de foi en Dieu libérateur et donateur de la terre.</t>
  </si>
  <si>
    <t>1 Pierre 3, 18-22 — St Pierre rappelle que le Christ est mort pour nos péchés, nous offrant le salut à travers le baptême.</t>
  </si>
  <si>
    <t>Romains 10, 8-13 — St Paul rappelle que quiconque invoque le nom du Seigneur sera sauvé.</t>
  </si>
  <si>
    <t>Genèse 12, 1-4 — Dieu appelle Abram à quitter son pays pour devenir le père d'une grande nation.</t>
  </si>
  <si>
    <t>Genèse 22, 1-2.9-13.15-18 — Dieu met à l'épreuve la foi d'Abraham, et renouvelle sa bénédiction.</t>
  </si>
  <si>
    <t>Romains 8, 31-34 — Dieu n’a pas épargné son Fils : rien ne peut nous accuser.</t>
  </si>
  <si>
    <t>Exode 20, 1-17 — Dieu proclame les Dix Commandements, fondement de l’Alliance.</t>
  </si>
  <si>
    <t>Exode 3, 1-8.10.13-15 — Dieu se révèle à Moïse comme "Je suis" et l’envoie libérer son peuple d'Egypte.</t>
  </si>
  <si>
    <t>1 Corinthiens 1, 22-25 — Le Christ crucifié est puissance et sagesse de Dieu.</t>
  </si>
  <si>
    <t>2 Chroniques 36, 14-16.19-23 — Dieu permet le retour d’exil par Cyrus malgré les infidélités d’Israël.</t>
  </si>
  <si>
    <t>Josué 5, 9-12 — Le peuple entre en Terre promise et mange les fruits de Canaan.</t>
  </si>
  <si>
    <t>Éphésiens 5, 8-14 —Marchez dans la lumière, en cherchant ce qui plaît à Dieu.</t>
  </si>
  <si>
    <t>Éphésiens 2, 4-10 — Par grâce, Dieu nous sauve et fait de nous sa création nouvelle.</t>
  </si>
  <si>
    <t>2 Corinthiens 5, 17-21 — Par le Christ, Dieu nous réconcilie et fait de nous ses ambassadeurs.</t>
  </si>
  <si>
    <t>Jérémie 31, 31-34 — Dieu annonce une nouvelle alliance écrite dans les cœurs.</t>
  </si>
  <si>
    <t>Romains 8, 8-11 — L’Esprit qui a ressuscité le Christ donne aussi vie à nos corps mortels.</t>
  </si>
  <si>
    <t>Hébreux 5, 7-9 — Le Christ apprend l’obéissance par ses souffrances et devient source de salut.</t>
  </si>
  <si>
    <t>Actes 2, 42-47 — La première communauté chrétienne vivait dans la communion fraternelle, la prière et le partage, témoignant de la résurrection du Seigneur.</t>
  </si>
  <si>
    <t>Actes 4, 32-35 — La première communauté chrétienne partageait tout en commun, témoignant d'une profonde unité et de la puissance de la résurrection.</t>
  </si>
  <si>
    <t>1 Pierre 1, 3-9 — St Pierre bénit Dieu pour l’espérance née de la résurrection et pour la joie promise à ceux qui croient.</t>
  </si>
  <si>
    <t>1 Jean 5, 1-6 — St Jean affirme que celui qui croit que Jésus est le Fils de Dieu est victorieux du monde, grâce à la foi.</t>
  </si>
  <si>
    <t>Actes 3, 13-15.17-19 — Pierre exhorte à la conversion, rappelant que Jésus, le St et le Juste, a été livré et tué, mais que Dieu l'a ressuscité.</t>
  </si>
  <si>
    <t>Actes 5, 27b-32.40b-41 — Les apôtres témoignent avec audace de la résurrection, se réjouissant de souffrir pour le nom de Jésus.</t>
  </si>
  <si>
    <t>1 Pierre 1, 17-21 — St Pierre exhorte à une vie sainte, rappelant que nous avons été rachetés par le sang précieux du Christ</t>
  </si>
  <si>
    <t>1 Jean 2, 1-5a — St Jean nous assure que Jésus-Christ est notre avocat auprès du Père et que l'observance de ses commandements manifeste notre amour pour Dieu.</t>
  </si>
  <si>
    <t>Actes 2, 14a.36-41 — St Pierre appelle à la conversion et au baptême pour recevoir le pardon et l’Esprit Saint.</t>
  </si>
  <si>
    <t>Actes 4, 8-12 — Pierre proclame que le salut n'est qu'en Jésus-Christ, pierre angulaire rejetée par les bâtisseurs</t>
  </si>
  <si>
    <t>1 Pierre 2, 20b-25 — Le Christ a souffert pour nous, laissant un exemple à suivre ; il est le berger de nos âmes.</t>
  </si>
  <si>
    <t>Apocalypse 7, 9.14b-17 — Une foule immense, purifiée par le sang de l’Agneau, se tient devant Dieu dans la vision de St Jean.</t>
  </si>
  <si>
    <t>Actes 6, 1-7 — Les Apôtres instituent les diacres pour le service des tables, afin de se consacrer à la prière et au ministère de la Parole.</t>
  </si>
  <si>
    <t>Actes 9, 26-31 — Saul, devenu disciple, est accueilli par les apôtres et annonce avec audace le Seigneur.</t>
  </si>
  <si>
    <t>1 Pierre 2, 4-9 — St Pierre décrit les fidèles comme des pierres vivantes, édifiant une maison spirituelle, appelés des ténèbres à la lumière du Christ.</t>
  </si>
  <si>
    <t>1 Jean 3, 18-24 — St Jean nous exhorte à aimer en actes et en vérité, gardant les commandements de Dieu.</t>
  </si>
  <si>
    <t>Actes 15, 1-2.22-29 — Le concile de Jérusalem discerne les exigences essentielles pour les nouveaux convertis païens.</t>
  </si>
  <si>
    <t>1 Pierre 3, 15-18 — St Pierre exhorte à témoigner de notre espérance avec douceur et respect, même dans la souffrance, à l'exemple du Christ</t>
  </si>
  <si>
    <t>1 Jean 4, 7-10 — St Jean souligne que l'amour vient de Dieu, manifesté par l'envoi de son Fils pour notre salut.</t>
  </si>
  <si>
    <t xml:space="preserve">Apocalypse 21, 10-14.22-23 — La Jérusalem céleste rayonne de la gloire de Dieu et de l’Agneau : nul besoin de temple, car Dieu en est la lumière.
</t>
  </si>
  <si>
    <t>Éphésiens 1, 17-23 —  St Paul, dans sa lettre aux Éphésiens, prie pour que nous recevions l’Esprit de sagesse et comprenions la gloire du Christ exalté.</t>
  </si>
  <si>
    <t>Hébreux 9, 24-28; 10, 19-23 — Le Christ est entré au ciel une fois pour toutes : gardons ferme notre foi dans l’espérance.</t>
  </si>
  <si>
    <t>Actes 1, 12-14 — Après l'ascension de Jésus, les Apôtres, avec Marie et les disciples, persévèrent dans la prière en attendant le don de l'Esprit St.</t>
  </si>
  <si>
    <t>Actes 1, 15-17.20a.20c-26 — Les apôtres, sous la conduite de Pierre, choisissent Matthias pour remplacer Judas parmi les Douze.</t>
  </si>
  <si>
    <t>Actes 7, 55-60 — Rempli de l’Esprit Saint, Étienne rend témoignage à Jésus jusqu’au martyre.</t>
  </si>
  <si>
    <t>1 Pierre 4, 13-16 — St Pierre encourage à se réjouir dans les souffrances pour le Christ, car elles nous associent à sa gloire.</t>
  </si>
  <si>
    <t>1 Jean 4, 11-16 — St Jean affirme que Dieu demeure en ceux qui s’aiment les uns les autres, perfectionnant ainsi son amour en eux.</t>
  </si>
  <si>
    <t>Apocalypse 22, 12-14.16-17.20 — Le Christ annonce son retour et invite chacun à venir boire à l’eau de la vie.</t>
  </si>
  <si>
    <t>Actes 2, 1-11 — Le jour de la Pentecôte, l’Esprit Saint descend sur les apôtres, et chacun entend la Bonne Nouvelle dans sa langue.</t>
  </si>
  <si>
    <t xml:space="preserve">1 Corinthiens 12, 3b-7.12-13​ — St Paul, dans sa lettre aux Corinthiens, rappelle que l’Esprit distribue ses dons pour l’unité du Corps du Christ.
</t>
  </si>
  <si>
    <t>Romains 8, 8-17 — St Paul, dans sa lettre aux Romains, affirme que ceux qui sont conduits par l’Esprit sont enfants de Dieu et héritiers du Christ.</t>
  </si>
  <si>
    <t>Exode 34, 4b-6.8-9 — Moïse rencontre Dieu dans la nuée et proclame sa miséricorde et sa fidélité éternelles.</t>
  </si>
  <si>
    <t>Deutéronome 4, 32-34.39-40 — Moïse rappelle la grandeur de Dieu qui a choisi Israël et l’appelle à garder ses commandements.</t>
  </si>
  <si>
    <t>Proverbes 8, 22-31 — La Sagesse parle, présente dès l’origine, se réjouit d’être avec les fils des hommes.</t>
  </si>
  <si>
    <t>2 Corinthiens 13, 11-13 — St Paul, dans sa lettre aux Corinthiens, exhorte à la paix et à vivre dans l’amour du Dieu trinitaire.</t>
  </si>
  <si>
    <t>Romains 8, 14-17 — St Paul, dans sa lettre aux Romains, affirme que nous sommes appelé à partager la gloire du Christ.</t>
  </si>
  <si>
    <t>Romains 5, 1-5 — St Paul, dans sa lettre aux Romains, célèbre l’espérance qui ne déçoit pas, car l’amour de Dieu a été répandu en nous.</t>
  </si>
  <si>
    <t>Deutéronome 8, 2-3.14b-16a — Moïse rappelle la fidélité de Dieu qui a nourri son peuple au désert et l’invite à ne pas oublier le Seigneur.</t>
  </si>
  <si>
    <t>Exode 24, 3-8 — Moïse scelle l’alliance entre Dieu et le peuple avec le sang, signe de communion et d’obéissance.</t>
  </si>
  <si>
    <t>Genèse 14, 18-20 — Melkisédek bénit Abraham et offre le pain et le vin, figure du sacerdoce du Christ.</t>
  </si>
  <si>
    <t>1 Corinthiens 10, 16-17 — St Paul, dans sa lettre aux Corinthiens, souligne que le pain et la coupe nous unissent au corps du Christ.</t>
  </si>
  <si>
    <t>Hébreux 9, 11-15 — Le Christ, grand prêtre, entre une fois pour toutes dans le sanctuaire avec son propre sang.</t>
  </si>
  <si>
    <t>1 Corinthiens 11, 23-26 — St Paul, dans sa lettre aux Corinthiens, rappelle les paroles du Seigneur instituant l’Eucharistie.</t>
  </si>
  <si>
    <t>Deutéronome 7, 6-11 — Moïse proclame que Dieu a choisi son peuple par amour fidèle, et appelle à l’obéissance à ses commandements.</t>
  </si>
  <si>
    <t>Osée 11, 1.3-4.8c-9 — Dieu révèle sa tendresse paternelle envers Israël, malgré son infidélité, et refuse de céder à la colère.</t>
  </si>
  <si>
    <t>Ézéchiel 34, 11-16 — Dieu se présente comme le bon berger qui cherche ses brebis, les soigne et les ramène.</t>
  </si>
  <si>
    <t>1 Jean 4, 7-16 —  St Jean affirme que Dieu est amour, et que celui qui aime connaît Dieu et demeure en Lui.</t>
  </si>
  <si>
    <t>Éphésiens 3, 8-12.14-19 — St Paul prie pour que nous soyons enracinés dans l’amour du Christ, et comblés de toute la plénitude de Dieu.</t>
  </si>
  <si>
    <t>Romains 5, 5b-11 — St Paul, dans sa lettre aux Romains, affirme que par la mort du Christ, Dieu nous réconcilie et révèle son amour.</t>
  </si>
  <si>
    <t>Genese 3, 9-15 — Après la désobéissance, Dieu interroge Adam et Ève, annonçant l'inimitié avec le serpent.</t>
  </si>
  <si>
    <t>1 Rois 17, 17-24 —Par la prière d’Élie, Dieu rend la vie au fils de la veuve.</t>
  </si>
  <si>
    <t>Romains 4, 18-25 — St Paul présente Abraham comme modèle de foi en la promesse de Dieu.</t>
  </si>
  <si>
    <t>2 Corinthiens 4, 13 – 5, 1 — Même si l’être extérieur se détruit, l’intérieur se renouvelle.</t>
  </si>
  <si>
    <t>Exode 19, 2-6a — Dieu appelle Israël, porté sur des ailes d’aigle, à devenir une nation sainte.</t>
  </si>
  <si>
    <t>Ezechiel 17, 22-24 — Dieu promet de planter un rameau qui deviendra un grand cèdre.</t>
  </si>
  <si>
    <t>2 Samuel 12, 7-10.13 — Par Nathan, Dieu révèle à David sa faute et lui accorde son pardon.</t>
  </si>
  <si>
    <t>Romains 5, 6-11 — Le Christ est mort pour nous alors que nous étions pécheurs.</t>
  </si>
  <si>
    <t>Job 38, 1.8-11 — Dieu fixe les limites de la mer déchaînée.</t>
  </si>
  <si>
    <t>Zacharie 12, 10-11 —Dieu répand un esprit de supplication : son peuple contemplera celui qu’il a transpercé.</t>
  </si>
  <si>
    <t>Romains 5, 12-15 — Par un seul homme le péché est entré, la grâce surabonde.</t>
  </si>
  <si>
    <t>2 Corinthiens 5, 14-17 — En Christ, une création nouvelle est née.</t>
  </si>
  <si>
    <t>2 Rois 4, 8-11.14-16a — Une femme offre l’hospitalité à Élisée qui lui annonce un fils.</t>
  </si>
  <si>
    <t>Sagesse 1, 13-15 ; 2, 23-24 — Dieu n’a pas créé la mort mais la vie.</t>
  </si>
  <si>
    <t>Romains 6, 3-4.8-11 — Par le baptême, nous vivons pour Dieu en Christ.</t>
  </si>
  <si>
    <t>2 Corinthiens 8, 7.9.13-15 — St Paul appelle à l’égalité dans le partage.</t>
  </si>
  <si>
    <t>Galates 5, 1.13-18 — St Paul nous exhorte à vivre la liberté en nous mettant au service des autres dans l’amour.</t>
  </si>
  <si>
    <t>Isaïe 66, 10-14c — Dieu console son peuple : Jérusalem est invitée à la joie.</t>
  </si>
  <si>
    <t>Romains 8, 9.11-13 — L’Esprit donne la vie à nos corps mortels.</t>
  </si>
  <si>
    <t>2 Corinthiens 12, 7-10 — La puissance de Dieu s’accomplit dans la faiblesse.</t>
  </si>
  <si>
    <t>Galates 6, 14-18 — St Paul affirme que sa seule fierté est la croix du Christ.</t>
  </si>
  <si>
    <t>Isaïe 55, 10-11 — Le prophète Isaïe compare la parole de Dieu à la pluie qui féconde la terre, accomplissant toujours sa mission.</t>
  </si>
  <si>
    <t>Ephesiens 1, 3-14 — St Paul bénit Dieu pour nous avoir choisis en Christ et destinés à devenir ses enfants adoptifs.</t>
  </si>
  <si>
    <t>Colossiens 1, 15-20 — Le Christ est premier-né de toute créature, tout est créé par lui et trouve en lui sa paix.</t>
  </si>
  <si>
    <t>Jeremie 23, 1-6 —  Jérémie annonce la venue d’un roi juste envoyé par Dieu, après avoir dénoncé les pasteurs infidèles.</t>
  </si>
  <si>
    <t>Ephesiens 2, 13-18 — St Paul proclame que le Christ, par sa croix, a réconcilié les peuples et établi la paix pour tous.</t>
  </si>
  <si>
    <t>Colossiens 1, 24-28 — St Paul souffre pour l’Église, afin que le mystère du Christ soit révélé à tous.</t>
  </si>
  <si>
    <t>2 Rois 4, 42-44 — Avec peu, Élisée nourrit la foule : Dieu montre sa fidélité envers ceux qui mettent leur espérance en lui.</t>
  </si>
  <si>
    <t>Ephesiens 4, 1-6 — St Paul exhorte à vivre l’unité dans l’Esprit, unis en un seul corps et une même foi.</t>
  </si>
  <si>
    <t>Colossiens 2, 12-14 —  Ensevelis avec le Christ dans le baptême, nous sommes relevés avec lui, pardonnés et libérés.</t>
  </si>
  <si>
    <t>Isaïe 55, 1-3 — Le Seigneur invite tous les assoiffés et affamés à venir à lui, offrant gratuitement une nourriture qui rassasie pleinement.</t>
  </si>
  <si>
    <t>Romains 8, 35.37-39 — St Paul proclame que rien ne peut nous séparer de l’amour de Dieu manifesté en Jésus-Christ notre Seigneur.</t>
  </si>
  <si>
    <t>Ephesiens 4, 17.20-24 —St Paul nous appelle à revêtir l’homme nouveau, façonné par Dieu dans la justice et la sainteté.</t>
  </si>
  <si>
    <t>Colossiens 3, 1-5.9-11 — Ressuscités avec le Christ, dépouillons-nous de l’homme ancien pour revêtir l’image nouvelle.</t>
  </si>
  <si>
    <t>Romains 9, 1-5 — St Paul exprime sa douleur pour ses frères israélites, dépositaires des promesses divines, et son désir ardent de leur salut.</t>
  </si>
  <si>
    <t>Ephesiens 4, 30 – 5, 2 — St Paul nous exhorte à imiter Dieu, en aimant comme le Christ nous a aimés.</t>
  </si>
  <si>
    <t>Hébreux 11, 1-2.8-19 — La foi fait marcher dans l’invisible ; elle a guidé Abraham vers la promesse.</t>
  </si>
  <si>
    <t>Romains 11, 13-15.29-32 — St Paul souligne que Dieu, dans sa miséricorde, veut faire miséricorde à tous, Juifs et païens, malgré les chemins d’infidélité.</t>
  </si>
  <si>
    <t>Ephesiens 5, 15-20 — St Paul nous invite à marcher comme des enfants de lumière, dans la louange et la gratitude.</t>
  </si>
  <si>
    <t>Hébreux 12, 1-4 — Fixons les yeux sur Jésus et courons avec endurance la course de la foi.</t>
  </si>
  <si>
    <t>Romains 11, 33-36 — St Paul s’émerveille devant la sagesse insondable de Dieu et la grandeur de ses jugements</t>
  </si>
  <si>
    <t>Ephesiens 5, 21-32 — St Paul compare l’union du Christ et de l’Église à celle des époux, et appelle à un amour fidèle et mutuel.</t>
  </si>
  <si>
    <t>Romains 12, 1-2 — St Paul exhorte les fidèles à offrir leur personne en sacrifice vivant, saint et agréable à Dieu, et à discerner la volonté de Dieu.</t>
  </si>
  <si>
    <t>Jacques 1, 17-18.21b-22.27 — St Jacques rappelle que toute grâce vient de Dieu et invite à mettre la parole en pratique, en aidant les plus démunis.</t>
  </si>
  <si>
    <t>Isaïe 35, 4-7a —  Isaïe annonce la venue du Sauveur, porteur de guérison et de libération pour un peuple éprouvé.</t>
  </si>
  <si>
    <t>Romains 13, 8-10 — St Paul rappelle que l’amour du prochain accomplit pleinement la Loi, car tous les commandements se résument dans l’amour.</t>
  </si>
  <si>
    <t>Jacques 2, 1-5 — St Jacques dénonce les discriminations et proclame que les pauvres sont choisis par Dieu pour être riches en foi.</t>
  </si>
  <si>
    <t>Exode 32, 7-11.13-14 — Moïse intercède pour le peuple infidèle, et le Seigneur renonce au châtiment, fidèle à son alliance.</t>
  </si>
  <si>
    <t>Romains 14, 7-9 — St Paul affirme que nul ne vit pour soi-même, mais que, vivants ou morts, nous appartenons au Seigneur.</t>
  </si>
  <si>
    <t>Jacques 2, 14-18 — St Jacques affirme que la foi sans les œuvres est morte, appelant à une foi active par la charité.</t>
  </si>
  <si>
    <t>Philippiens 1, 20c-24.27a — St Paul exprime son désir d’honorer le Christ en vivant ou en mourant, appelant à une vie digne de l’Évangile.</t>
  </si>
  <si>
    <t>Jacques 3, 16 – 4, 3 — St Jacques appelle à rechercher la sagesse d’en haut, source de paix, et à rejeter l’envie et les rivalités.</t>
  </si>
  <si>
    <t>Philippiens 2, 1-11 — St Paul exhorte à l’humilité et à l’unité, prenant pour modèle le Christ qui s’est abaissé jusqu’à la croix.</t>
  </si>
  <si>
    <t>Jacques 5, 1-6 — St Jacques dénonce l’injustice des riches oppresseurs et les avertit du jugement qui vient.</t>
  </si>
  <si>
    <t>Philippiens 4, 6-9 — St Paul encourage à ne pas s’inquiéter, mais à présenter à Dieu nos requêtes avec actions de grâce.</t>
  </si>
  <si>
    <t>Hebreux 2, 9-11 — Jésus, sanctificateur, s’est abaissé pour partager notre condition humaine, selon la lettre aux Hebreux.</t>
  </si>
  <si>
    <t>Sagesse 7, 7-11 — Salomon préfère la sagesse aux richesses, reconnaissant en elle un trésor inestimable.</t>
  </si>
  <si>
    <t>2 Rois 5, 14-17 — Guéri dans l’eau d’Israël, Naaman confesse qu’il n’y a d’autre Dieu que le Seigneur.</t>
  </si>
  <si>
    <t>Philippiens 4, 12-14.19-20 — St Paul témoigne de sa capacité à vivre dans l’abondance comme dans le besoin, grâce au Christ.</t>
  </si>
  <si>
    <t>Exode 17, 8-13 — La prière de Moïse, tenue par ses frères, fait tenir debout tout un peuple.</t>
  </si>
  <si>
    <t>1 Thessaloniciens 1, 1-5b — St Paul rend grâce pour la foi, l’espérance et la charité des Thessaloniciensessaloniciens.</t>
  </si>
  <si>
    <t>2 Timothée 3, 14 – 4, 2 —  La Parole façonne le cœur patient et prépare à toute œuvre droite.</t>
  </si>
  <si>
    <t>Ben Sirac le Sage 35, 15b-17.20-22a — Dieu écoute la prière du pauvre, du cœur brisé et du veuf.</t>
  </si>
  <si>
    <t>1 Thessaloniciens 1, 5c-10 — St Paul loue les Thessaloniciensessaloniciens pour leur foi tournée vers le Dieu vivant.</t>
  </si>
  <si>
    <t>Hebreux 5, 1-6 — Le Christ, grand prêtre, intercède pour les hommes.</t>
  </si>
  <si>
    <t>Deutéronome 6, 2-6 — Moïse exhorte Israël à aimer le Seigneur de tout son cœur, en gardant ses commandements.</t>
  </si>
  <si>
    <t>Sagesse 11, 22 – 12, 2 — Dieu domine l’univers avec douceur, appelant chacun à la conversion.</t>
  </si>
  <si>
    <t>1 Thessaloniciens 2, 7b-9.13 — St Paul évoque sa tendresse envers les Thessaloniciensessaloniciens, et rend grâce pour leur accueil de la parole de Dieu.</t>
  </si>
  <si>
    <t>Hebreux 7, 23-28 — Le Christ, prêtre pour toujours, nous sanctifie pleinement par son unique sacrifice.</t>
  </si>
  <si>
    <t>Sagesse 6, 12-16 — La Sagesse se laisse trouver par ceux qui la cherchent, rayonnante et accessible.</t>
  </si>
  <si>
    <t xml:space="preserve">2 Maccabées 7, 1-2.9-14 — Sept frères témoignent jusqu’à la mort de leur foi en la résurrection.
</t>
  </si>
  <si>
    <t>1 Thessaloniciens 4, 13-18 — St Paul réconforte les croyants en leur rappelant la résurrection des morts à la venue du Seigneur.</t>
  </si>
  <si>
    <t>Hebreux 9, 24-28 — Le Christ s’est offert une fois pour toutes, abolissant le péché par le don total de sa vie.</t>
  </si>
  <si>
    <t>Malachie 3, 19-20a — Le Jour du Seigneur approche, brûlant pour les injustes, rayonnant pour les fidèles.</t>
  </si>
  <si>
    <t>Hebreux 10, 11-14.18 — Le Christ offre un sacrifice parfait et définitif, accomplissant pour toujours l’œuvre du salut.</t>
  </si>
  <si>
    <t>Daniel 7, 13-14 — Le prophète Daniel voit un Fils d’homme recevoir souveraineté et gloire éternelle.</t>
  </si>
  <si>
    <t>2 Samuel 5, 1-3 — Les tribus d’Israël reconnaissent David comme roi, image prophétique du Messie à venir.</t>
  </si>
  <si>
    <t>1 Corinthiens 15, 20-26.28 — Christ ressuscité remettra le royaume à Dieu le Père, afin que Dieu soit tout en tous.</t>
  </si>
  <si>
    <t>Apocalypse 1, 5-8 — Le Christ est le premier-né des morts, le témoin fidèle qui vient dans la gloire.</t>
  </si>
  <si>
    <t>1 Corinthiens 1, 10-13.17 — St Paul appelle à l’unité : un seul Christ, une seule croix, une seule Église.</t>
  </si>
  <si>
    <t>1 Corinthiens 1, 3-9 — Dieu nous a comblés de dons pour tenir jusqu’au jour où le Christ se révélera.</t>
  </si>
  <si>
    <t>min</t>
  </si>
  <si>
    <t>max</t>
  </si>
  <si>
    <t>nom fête</t>
  </si>
  <si>
    <t>date</t>
  </si>
  <si>
    <t>date_longue</t>
  </si>
  <si>
    <t>nom_fête</t>
  </si>
  <si>
    <t>lecture1_A</t>
  </si>
  <si>
    <t>lecture1_B</t>
  </si>
  <si>
    <t>lecture1_C</t>
  </si>
  <si>
    <t>lecture2_A</t>
  </si>
  <si>
    <t>lecture2_B</t>
  </si>
  <si>
    <t>lecture2_C</t>
  </si>
  <si>
    <t>1ere lecture</t>
  </si>
  <si>
    <t>2eme lecture</t>
  </si>
  <si>
    <t>Isaïe 50, 4-7 — Le serviteur du Seigneur accepte les souffrances avec confiance, certain que Dieu le soutient.</t>
  </si>
  <si>
    <t>1 Jean 3, 1-2 — St Jean nous rappelle que nous sommes enfants de Dieu, appelés à lui ressembler pleinement.</t>
  </si>
  <si>
    <t>Apocalypse 5, 11-14 — St Jean décrit la vision céleste où l'Agneau immolé reçoit honneur et gloire de toute la création.</t>
  </si>
  <si>
    <t>A</t>
  </si>
  <si>
    <t>B</t>
  </si>
  <si>
    <t>C</t>
  </si>
  <si>
    <t>Jeudi Saint</t>
  </si>
  <si>
    <t>Vendredi Saint</t>
  </si>
  <si>
    <t>Veillée Pascale</t>
  </si>
  <si>
    <t>Tite 3, 4-7 — St Paul rappelle que Dieu, dans sa miséricorde, nous sauve par l’Esprit et nous fait héritiers de la vie éternelle.</t>
  </si>
  <si>
    <t>2 Corinthiens 4, 6-11 — St Paul témoigne que, malgré notre fragilité, nous portons la vie du Christ, révélant ainsi sa puissance.</t>
  </si>
  <si>
    <t>Galates 1, 1-2.6-10 — St Paul met en garde contre tout message qui déforme l’Évangile et affirme sa fidélité au Christ seul.</t>
  </si>
  <si>
    <t>Romains 5, 12-19 — St Paul oppose Adam et le Christ : par l’un, le péché est entré ; par l’autre, la grâce a été donnée pour tous.</t>
  </si>
  <si>
    <t>2 Timothée 1, 8-10 — St Paul nous exhorte à accueillir la grâce et à vivre saintement, même dans les épreuves pour l’Évangile.</t>
  </si>
  <si>
    <t>Actes 8, 5-8.14-17 — Philippe annonce le Christ ; les Samaritains reçoivent la Parole avec joie et accueillent l’Esprit Saint par les Apôtres.</t>
  </si>
  <si>
    <t>Exode 17, 3-7 — Malgré les récriminations du peuple, Dieu fait jaillir l’eau dans le désert.</t>
  </si>
  <si>
    <t>Hebreux 4, 12-13 — La parole de Dieu est vivante et agit avec puissance jusque dans les profondeurs du cœur humain.</t>
  </si>
  <si>
    <t>Romains 8, 28-30 — St Paul affirme que Dieu coopère en tout pour le bien de ceux qui lui sont fidèles, les prédestinant à être conformes à l’image de son Fils.</t>
  </si>
  <si>
    <t>2 Thessaloniciens 2, 16 – 3, 5 — St Paul nous encourage à tenir ferme, soutenus par l’amour de Dieu et la persévérance du Christ.</t>
  </si>
  <si>
    <t>Romains 5, 1-2.5-8 — Dieu prouve son amour en Christ mort pour nous pécheurs, et son Esprit le répand dans nos cœurs.</t>
  </si>
  <si>
    <t>Philémon 9b-10.12-17​ — St Paul plaide pour Onésime, son fils spirituel, invitant à l’accueillir non comme esclave mais comme frère dans le Christ.</t>
  </si>
  <si>
    <t>1 Thessaloniciens 3,12–4,2 — St Paul exhorte à grandir dans l’amour fraternel et à marcher selon les enseignements du Seigneur.</t>
  </si>
  <si>
    <t>Isaïe 42, 1-4.6-7 — Dieu envoie son serviteur pour établir la justice et illuminer toutes les nations.</t>
  </si>
  <si>
    <t xml:space="preserve">Isaïe 55, 1-11 — Dieu appelle chacun à accueillir sa Parole, vivante et féconde comme la pluie sur la terre.
</t>
  </si>
  <si>
    <t>Isaïe 40, 1-5.9-11 — Le Seigneur console son peuple et le guide avec tendresse, comme un berger ses brebis.</t>
  </si>
  <si>
    <t>1 Jean 5, 1-9 — L’Esprit, l’eau et le sang témoignent ensemble que Jésus est vraiment le Fils de Dieu.</t>
  </si>
  <si>
    <t>Jonas 3, 1-5.10 — Jonas appelle Ninive à la conversion, et Dieu, touché par leur repentir, renonce à les frapper.</t>
  </si>
  <si>
    <t>Jérémie 1, 4-5.17-19 — Appelé par Dieu, Jérémie reçoit l’assurance que, malgré l’opposition, le Seigneur le délivrera.</t>
  </si>
  <si>
    <t>Jérémie 17, 5-8 — Celui qui se confie en Dieu est enraciné comme un arbre au bord de l’eau, jamais desséché.</t>
  </si>
  <si>
    <t>1 Corinthiens 1, 1-3 — St Paul adresse son salut aux croyants appelés à la sainteté dans le Christ Jésus.</t>
  </si>
  <si>
    <t>1 Corinthiens 6, 13c-15a.17-20 — St Paul nous rappelle que nos corps, temples de l’Esprit, appartiennent au Christ.</t>
  </si>
  <si>
    <t>1 Corinthiens 12, 12-30 — St Paul, dans sa lettre aux Corinthiens, nous montre que l’Église forme un seul corps où chaque membre a sa place et sa mission.</t>
  </si>
  <si>
    <t xml:space="preserve">Job 7, 1-4.6-7 — Job décrit la dureté de l’existence humaine, marquée par la fatigue et la brièveté, sans perdre l’adresse à Dieu. </t>
  </si>
  <si>
    <t>Joël 2, 12-18 — Joël appelle à revenir au Seigneur de tout son cœur, car il est miséricordieux, lent à la colère et plein d’amour.</t>
  </si>
  <si>
    <t>1 Samuel 3, 3b-10.19 — Le jeune Samuel apprend à reconnaître l’appel de Dieu et à y répondre : « Me voici ». Ainsi commence sa mission prophétique.</t>
  </si>
  <si>
    <t>Isaïe 43, 18-19.21-22.24b-25 — Le Seigneur oublie les fautes passées et renouvelle son alliance, offrant à son peuple un chemin de vie.</t>
  </si>
  <si>
    <t>Genèse 2, 7-9; 3, 1-7 — La Genèse évoque la beauté de la création, et le drame du péché qui rompt la communion avec Dieu.</t>
  </si>
  <si>
    <t>Genèse 9, 8-15 — Après le déluge, Dieu conclut une alliance de paix avec toute vie, scellée par l’arc dans le ciel.</t>
  </si>
  <si>
    <t>Genèse 15, 5-12.17-18 — Dieu scelle son alliance avec Abraham, lui promettant une descendance innombrable, fondée sur la foi.</t>
  </si>
  <si>
    <t>Philippiens 3, 17 – 4, 1 — St Paul nous exhorte à rester fermes, dans l’attente d’être transfigurés à l’image du Christ.</t>
  </si>
  <si>
    <t>1 Corinthiens 10, 1-6.10-12 — St Paul met en garde en rappelant les chutes d’Israël, afin que nous marchions avec vigilance et fidélité.</t>
  </si>
  <si>
    <t>1 Samuel 16, 1.6-7.10-13 — Dieu choisit David, révélant que le Seigneur regarde le cœur, et non l’apparence, pour accomplir ses desseins.</t>
  </si>
  <si>
    <t>Ézéchiel 37, 12-14 — Dieu promet de relever son peuple de la mort et de lui donner son Esprit, annonçant la résurrection.</t>
  </si>
  <si>
    <t>Philippiens 2, 6-11 — St Paul proclame le mystère du Christ : abaissé jusqu’à la croix, exalté par le Père comme Seigneur de tous.</t>
  </si>
  <si>
    <t>Actes 2, 14.22-33 — Pierre proclame Jésus ressuscité, accomplissant les Écritures et attestant qu’il est le Messie attendu.</t>
  </si>
  <si>
    <t>Apocalypse 1, 9-11a.12-13.17-19 — St Jean reçoit une vision du Christ glorieux et reçoit mission d’éclairer les Églises par ce témoignage.</t>
  </si>
  <si>
    <t>Actes 2, 14.22-33 — St Pierre annonce que Jésus, crucifié et ressuscité, est exalté à la droite de Dieu, selon l’Écriture.</t>
  </si>
  <si>
    <t>Apocalypse 21, 1-5a — St Jean annonce une création nouvelle, où Dieu fait sa demeure parmi les hommes pour effacer toute peine.</t>
  </si>
  <si>
    <t xml:space="preserve">Actes 10, 25-26.34-35.44-48 — Pierre proclame que Dieu accueille tous les peuples, et l’Esprit descend sur ceux qui croient en Jésus.
</t>
  </si>
  <si>
    <t>Éphésiens 4, 1-13 — St Paul nous exhorte à l’unité de la foi et à grandir jusqu’à la pleine stature du Christ.</t>
  </si>
  <si>
    <t>Osée 6, 3-6 — Osée appelle à revenir au Seigneur, qui préfère la miséricorde à tous les rites.</t>
  </si>
  <si>
    <t>Jeremie 20, 10-13 — Jérémie, malgré l’oppression, proclame sa confiance en Dieu qui délivre les petits et confond les puissants.</t>
  </si>
  <si>
    <t>1 Rois 19, 16b.19-21 — Élie appelle Élisée, qui quitte tout sans tarder pour suivre l’appel du Seigneur.</t>
  </si>
  <si>
    <t>Zacharie 9, 9-10 — Zacharie annonce la venue d’un roi humble, porteur de paix, qui entre à Jérusalem monté sur un âne.</t>
  </si>
  <si>
    <t>Ezechiel 2, 2-5 — Dieu envoie Ézéchiel vers un peuple rebelle, afin qu’il proclame fidèlement sa Parole, qu’elle soit accueillie ou non.</t>
  </si>
  <si>
    <t xml:space="preserve">Amos 7, 12-15 — Dieu choisit Amos, un simple berger, pour porter sa Parole avec audace malgré les oppositions.
</t>
  </si>
  <si>
    <t>Deutéronome 30, 10-14 — Dieu offre sa Parole proche de chacun, facile à entendre, à accueillir et à vivre au quotidien.</t>
  </si>
  <si>
    <t>Sagesse 12, 13.16-19 — Dieu montre sa puissance dans la patience et enseigne le pardon, révélant une justice empreinte de miséricorde.</t>
  </si>
  <si>
    <t>Genèse 18, 1-10a — Abraham accueille trois visiteurs mystérieux ; par cette hospitalité, il reçoit la promesse d’une naissance.</t>
  </si>
  <si>
    <t>1 Rois 3, 5.7-12 — Salomon demande un cœur attentif pour gouverner avec sagesse, et Dieu lui accorde ce don précieux.</t>
  </si>
  <si>
    <t>Genèse 18, 20-32 — Abraham intercède pour Sodome, suppliant Dieu avec insistance, convaincu de sa justice.</t>
  </si>
  <si>
    <t>Exode 16, 2-4.12-15 — Dieu envoie la manne pour nourrir son peuple au désert, signe de sa fidélité et de sa présence.</t>
  </si>
  <si>
    <t>Ecclésiaste 1, 2; 2, 21-23 — L’Ecclésiaste montre que tout travail sans Dieu est vanité : seul ce qui vient de Lui demeure.</t>
  </si>
  <si>
    <t>1 Rois 19, 9a.11-13a — Élie découvre la présence de Dieu non dans le fracas, mais dans la brise légère.</t>
  </si>
  <si>
    <t>1 Rois 19, 4-8 — Élie, accablé, reçoit la force de Dieu par un ange pour continuer jusqu’à l’Horeb.</t>
  </si>
  <si>
    <t>Sagesse 18, 6-9 — Dans la nuit du salut, Dieu protège les siens, confiants en sa promesse.</t>
  </si>
  <si>
    <t>Isaïe 56, 1.6-7 — Isaïe proclame que la maison du Seigneur est ouverte à tous ceux qui s’attachent à Lui.</t>
  </si>
  <si>
    <t>Proverbes 9, 1-6 — La Sagesse invite les simples à son festin, offrant pain et vin pour la vie véritable.</t>
  </si>
  <si>
    <t>Jérémie 38, 4-6.8-10 — Jeté dans la boue, Jérémie est relevé par un homme juste, image du salut contre l’injustice.</t>
  </si>
  <si>
    <t>Isaïe 22, 19-23 — Dieu établit Eliakim pour gouverner fidèlement, image du Christ porteur des clés du Royaume.</t>
  </si>
  <si>
    <t>Jos 24, 1-2a.15-17.18b — Josué appelle à choisir le Seigneur sans partage : le peuple renouvelle son alliance.</t>
  </si>
  <si>
    <t>Isaïe 66, 18-21 — Dieu rassemble toutes les nations pour qu’elles voient sa gloire et proclament son nom.</t>
  </si>
  <si>
    <t>Hébreux 12, 5-7.11-13 — Dieu nous éduque par amour, pour que nos vies portent des fruits de justice.</t>
  </si>
  <si>
    <t>Jeremie 20, 7-9 — Jérémie, séduit par Dieu, ne peut contenir sa parole malgré les moqueries.</t>
  </si>
  <si>
    <t>Deutéronome 4, 1-2.6-8 — Moïse exhorte à garder fidèlement les commandements, source de sagesse et d’identité pour le peuple de Dieu.</t>
  </si>
  <si>
    <t>Ben Sirac le Sage 3, 17-18.20.28-29 —  Dieu se plaît à élever les humbles, en qui se cache la vraie sagesse.</t>
  </si>
  <si>
    <t>Hébreux 12, 18-19.22-24a — Nous sommes invités non à la peur, mais à la joie de l’assemblée des vivants auprès de Dieu.</t>
  </si>
  <si>
    <t>Ezechiel 33, 7-9 — Dieu confie à Ézéchiel la mission d’avertir les pécheurs, pour qu’ils reviennent à Lui.</t>
  </si>
  <si>
    <t xml:space="preserve">Sagesse 9, 13-18 — Notre esprit est limité ; seule la sagesse de Dieu nous guide dans ses desseins.
</t>
  </si>
  <si>
    <t>Si 27, 30 – 28, 7 — Le Siracide appelle à rejeter la colère : Dieu fait miséricorde à qui pardonne.</t>
  </si>
  <si>
    <t>Isaïe 50, 5-9a — Le serviteur endure l’épreuve avec foi, sûr que Dieu le soutiendra et fera justice.</t>
  </si>
  <si>
    <t>1 Timothee 1, 12-17 — St Paul témoigne de la miséricorde de Dieu, qui transforme un pécheur en apôtre par la grâce du Christ.</t>
  </si>
  <si>
    <t>Isaïe 55, 6-9 — Isaïe invite à revenir vers Dieu, dont les pensées de miséricorde dépassent les logiques humaines.</t>
  </si>
  <si>
    <t xml:space="preserve">Sagesse 2, 12.17-20 — Face à la haine des impies, le juste demeure ferme, soutenu par Dieu qui lui promet la vie.
</t>
  </si>
  <si>
    <t>Amos 8, 4-7 — Le prophète Amos dénonce l’injustice envers les pauvres, rappelant que Dieu voit et juge toutes nos actions.</t>
  </si>
  <si>
    <t>1 Timothee 2, 1-8 — St Paul nous invite à prier pour tous, afin que règnent la paix et la justice.</t>
  </si>
  <si>
    <t>Ezechiel 18, 25-28 — Ézéchiel proclame que Dieu offre la vie à celui qui revient du mal, car sa justice sauve.</t>
  </si>
  <si>
    <t xml:space="preserve">Nombres 11, 25-29 — Dieu répand son Esprit librement, suscitant des prophètes au-delà des attentes de Moïse.
</t>
  </si>
  <si>
    <t>Amos 6, 1a.4-7 — Amos avertit ceux qui vivent dans l’abondance, oublieux du sort de leur peuple.</t>
  </si>
  <si>
    <t>1 Timothee 6, 11-16 — St Paul appelle à mener le bon combat de la foi, en vue de la venue du Christ.</t>
  </si>
  <si>
    <t>Isaïe 5, 1-7 — Isaïe dépeint la vigne du Seigneur, décevante malgré les soins : un appel à la fidélité.</t>
  </si>
  <si>
    <t>Genese 2, 18-24 —Dieu crée la femme pour que l’homme ne soit pas seul : une union d’amour, signe de sa bénédiction.</t>
  </si>
  <si>
    <t>Habacuc 1, 2-3; 2, 2-4 —  Face au mal, le prophète reçoit cette promesse : le juste vivra par sa foi.</t>
  </si>
  <si>
    <t>2 Timothée 1, 6-8.13-14 —  St Paul exhorte Timothée à raviver le don reçu, et à garder fidèlement la Parole dans l’Esprit.</t>
  </si>
  <si>
    <t>Isaïe 25, 6-10a —  Isaïe annonce un festin pour tous les peuples, où Dieu ôtera le voile de la mort.</t>
  </si>
  <si>
    <t>2 Timothée 2, 8-13 —  St Paul rappelle que mourir avec le Christ, c’est vivre avec lui pour toujours.</t>
  </si>
  <si>
    <t>Isaïe 45, 1.4-6 — Dieu choisit Cyrus, un roi païen, pour accomplir ses desseins : tout pouvoir vient de lui.</t>
  </si>
  <si>
    <t>Isaïe 53, 10-11 — Le Serviteur souffrant s’offre en sacrifice : sa fidélité sauve la multitude.</t>
  </si>
  <si>
    <t>Hebreux 4, 14-16 — Jésus, grand prêtre compatissant, nous ouvre l’accès au trône de la grâce.</t>
  </si>
  <si>
    <t>Exode 22, 20-26 —  Le Seigneur défend l’étranger, l’orphelin, le pauvre : leur cri lui est sacré.</t>
  </si>
  <si>
    <t>Jeremie 31, 7-9 — Dieu rassemble son peuple dispersé et le guide avec tendresse vers des sources d’eau.</t>
  </si>
  <si>
    <t xml:space="preserve"> 2 Timothée 4, 6-8.16-18 — St Paul remet sa vie au Christ, sûr que Dieu gardera sa promesse aux justes.</t>
  </si>
  <si>
    <t>Malachie 1, 14b – 2, 2b.8-10 —  Le Seigneur reproche aux prêtres leur infidélité : il rappelle l’unité de tous en un seul Créateur.</t>
  </si>
  <si>
    <t>2 Thessaloniciens 1, 11 – 2, 2 — Dieu fortifie notre foi et nous prépare à toute œuvre bonne dans l’espérance du Christ.</t>
  </si>
  <si>
    <t>1 Rois 17, 10-16 — La foi de la veuve la pousse à partager son dernier pain : Dieu comble sa générosité.</t>
  </si>
  <si>
    <t>Proverbes 31, 10-13.19-20.30-31 —Le livre des Proverbes loue la femme vaillante, modèle de sagesse et de charité.</t>
  </si>
  <si>
    <t>Daniel 12, 1-3 — Les justes, fidèles à Dieu, resplendiront comme des étoiles au jour de sa venue.</t>
  </si>
  <si>
    <t xml:space="preserve">2 Thessaloniciens 3, 7-12 — St Paul rappelle que travailler dignement, c’est aussi honorer le Seigneur.
</t>
  </si>
  <si>
    <t>Ezechiel 34, 11-12.15-17 — Le Seigneur est le bon berger : il cherche, rassemble, et prend soin de chacune de ses brebis.</t>
  </si>
  <si>
    <t>Genèse 3, 9-15.20 —  Dieu promet une descendance victorieuse du mal : Marie en est la première figure.</t>
  </si>
  <si>
    <t>Éphésiens 1, 3-6.11-12 — St Paul proclame que Dieu nous a choisis en Christ pour vivre dans la sainteté et la louange.</t>
  </si>
  <si>
    <t>2 Samuel 7, 4-5a.12-14a.16 — Dieu promet une maison stable à David : Joseph en reçoit l’accomplissement en accueillant le Messie.</t>
  </si>
  <si>
    <t>Romains 4, 13.16-18.22 — La foi d’Abraham, espérant contre toute espérance, éclaire celle de Joseph, silencieux et confiant.</t>
  </si>
  <si>
    <t>Isaïe 7, 10-14  — Un signe est donné : la Vierge enfantera Emmanuel, Dieu avec nous.</t>
  </si>
  <si>
    <t>Hébreux 10, 4-10 — Le Christ entre dans le monde pour accomplir la volonté du Père : nous sommes sanctifiés par son offrande.</t>
  </si>
  <si>
    <t>Isaïe 49, 1-6 — Dieu appelle son serviteur dès le sein maternel pour être lumière des nations.</t>
  </si>
  <si>
    <t>Actes 13, 22-26 — St Paul rappelle que Jean-Baptiste a préparé le chemin du Christ par un appel à la conversion.</t>
  </si>
  <si>
    <t xml:space="preserve">2 Timothée 4, 6-8.17-18 — St Paul, arrivé au terme de sa course, rend grâce au Seigneur pour sa fidélité et la couronne promise.
</t>
  </si>
  <si>
    <t>Daniel 7, 9-10.13-14 — Daniel voit un Fils d’homme recevoir gloire et royauté : préfiguration du Christ transfiguré.</t>
  </si>
  <si>
    <t>2 Pierre 1, 16-19 —  St Pierre atteste la gloire du Christ, vue sur la montagne, et confirme la Parole prophétique.</t>
  </si>
  <si>
    <t>Apocalypse 11, 19a ; 12, 1-6a.10ab — Une femme, couronnée d’étoiles, lutte contre le mal : signe de l’espérance en Marie, élevée au ciel.</t>
  </si>
  <si>
    <t>1 Corinthiens 15, 20-27a — Le Christ ressuscité est les prémices de ceux qui s’endorment : Marie en est le premier fruit glorifié.</t>
  </si>
  <si>
    <t>Nombres 21, 4-9 — Le serpent élevé dans le désert préfigure le Christ élevé en croix pour notre salut.</t>
  </si>
  <si>
    <t>Apocalypse 7, 2-4.9-14 — La foule innombrable des saints acclame Dieu : ils ont lavé leurs robes dans le sang de l’Agneau.</t>
  </si>
  <si>
    <t>1 Jean 3, 1-3 — Nous sommes enfants de Dieu, appelés à lui ressembler pleinement dans la gloire.</t>
  </si>
  <si>
    <t>Malachie 3, 1-4 — Le Seigneur entre dans son Temple pour purifier son peuple, tel un feu raffineur.</t>
  </si>
  <si>
    <t>Hébreux 2, 14-18 —  Jésus partage notre condition humaine pour devenir un prêtre miséricordieux et fidèle.</t>
  </si>
  <si>
    <t>Isaïe 9, 1-6 — Un enfant nous est né : lumière dans la nuit, il apporte paix, joie et salut.</t>
  </si>
  <si>
    <t>Tite 2, 11-14 —  La grâce de Dieu s’est manifestée pour tous : elle nous apprend à vivre dans l’attente du Sauveur.</t>
  </si>
  <si>
    <t>Isaïe 62, 11-12— Voici que le Seigneur vient : son peuple est proclamé "racheté", porteur d’espérance.</t>
  </si>
  <si>
    <t>Isaïe 52, 7-10 — La voix du messager proclame la paix : Dieu règne et sauve son peuple aux yeux de tous.</t>
  </si>
  <si>
    <t>Hébreux 1, 1-6— Dieu parle désormais par son Fils, reflet de sa gloire et héritier de toutes choses.</t>
  </si>
  <si>
    <t>Colossiens 1, 12-20 — St Paul célèbre le Christ, image du Dieu invisible, premier-né de toute création et tête de l’Église.</t>
  </si>
  <si>
    <t>2 Corinthiens 3, 1b-6 — St Paul rappelle que Dieu nous rend capables de servir la nouvelle alliance, celle de l’Esprit.</t>
  </si>
  <si>
    <t>1 Thessaloniciens 5, 1-6 — St Paul appelle à la vigilance, car le jour du Seigneur viendra de manière imprévisible</t>
  </si>
  <si>
    <t>Isaïe 49, 3.5-6 — Isaïe révèle la mission de la lumière des nations, appelée à porter le salut jusqu’aux extrémités de la terre.</t>
  </si>
  <si>
    <t>Isaïe 62, 1-5 — Isaïe annonce une alliance nouvelle pour Jérusalem, l'aimée de Dieu, afin qu'elle brille comme une épouse comblée de joie.</t>
  </si>
  <si>
    <t>Isaïe 8, 23b-9,3 — Isaïe proclame qu’une grande lumière resplendira sur le peuple enténébré, annonçant la joie et la libération données par Dieu.</t>
  </si>
  <si>
    <t>1 Corinthiens 12, 4-11 — St Paul enseigne que l’Esprit distribue à chacun des dons variés, pour le bien de tous.</t>
  </si>
  <si>
    <t>Néhémie 8, 2-4a.5-6.8-10 — Le peuple, touché par la lecture de la Loi, découvre en elle une source de joie et de force.</t>
  </si>
  <si>
    <t>Sophonie 2, 3 ; 3, 12-13 — Sophonie appelle à l’humilité et à la confiance : Dieu sera le refuge du petit reste fidèle.</t>
  </si>
  <si>
    <t>Isaïe 58, 7-10 — Isaïe appelle à partager avec les pauvres : alors, notre lumière jaillira comme l’aurore.</t>
  </si>
  <si>
    <t>Ben Sira 15, 15-20 — Ben Sira rappelle que l’homme est libre : choisir les commandements, c’est choisir la sagesse et la vie.</t>
  </si>
  <si>
    <t>Lévitique 13, 1-2.45-46 — La mise à l’écart du lépreux rappelle combien l’homme cherche à être purifié pour s’approcher de Dieu.</t>
  </si>
  <si>
    <t>1 Rois 8, 41-43 — Salomon prie pour que Dieu acceuille même l'étranger, venu vers le Temple pour L'honorer.</t>
  </si>
  <si>
    <t>Deutéronome 5, 12-15 —  Moïse rappelle que le sabbat est la mémoire de la libération : un jour pour Dieu et pour l’homme.</t>
  </si>
  <si>
    <t>Isaïe 40,1-5.9-11 — Une voix appelle à consoler le peuple et à préparer la venue du Seigneur dans la gloire.</t>
  </si>
  <si>
    <t>Romains 1, 1-7 — St Paul présente Jésus, fils de David et Fils de Dieu,  source de grâce et de mission.</t>
  </si>
  <si>
    <t>Hébreux 10, 5-10 — Le Christ entre dans le monde pour faire la volonté du Père, offrant sa vie pour nous sanctifier.</t>
  </si>
  <si>
    <t>2 Corinthiens 5, 20 – 6, 2 — St Paul exhorte les Corinthiens à se laisser réconcilier avec Dieu, rappelant que c’est maintenant le moment favorable pour accueillir sa grâce.</t>
  </si>
  <si>
    <t>Romains 13,11-14 — St Paul, dans sa lettre aux Romains, exhorte à se réveiller et revêtir le Christ dans une vie nouvelle.</t>
  </si>
  <si>
    <t>Romains 15,4-9 — St Paul, dans sa lettre aux Romains, montre que l’Écriture fonde notre espérance et rassemble tous les peuples en Christ.</t>
  </si>
  <si>
    <t>1 Corinthiens 7, 32-35 — St Paul, dans sa lettre aux Corinthiens, appelle à se consacrer au Seigneur sans distraction.</t>
  </si>
  <si>
    <t>1 Corinthiens 9, 16-19.22-23 — St Paul se rend proche de chacun pour que tous puissent accueillir l’Évangile et être sauvés.</t>
  </si>
  <si>
    <t>1 Corinthiens 2, 6-10 — St Paul affirme, dans sa lettre aux Corinthiens, que Dieu révèle sa sagesse mystérieuse à ceux qui lui sont fidèles et qui marchent selon son Esprit.</t>
  </si>
  <si>
    <t>1 Corinthiens 3, 16-23 — St Paul rappelle, dans sa lettre aux Corinthiens, que nous sommes au Christ, et qu’en lui, tout nous est donné.</t>
  </si>
  <si>
    <t>1 Corinthiens 4, 1-5 — St Paul exhorte, dans sa lettre aux Corinthiens, à ne pas juger prématurément, car seul le Seigneur révélera les intentions cachées des cœurs.</t>
  </si>
  <si>
    <t>Romains 3, 21-25a.28 — St Paul enseigne, dans sa lettre aux Romains, que Dieu rend juste par la foi en Jésus-Christ, gratuitement, indépendamment des œuvres de la Loi.</t>
  </si>
  <si>
    <t>1 Corinthiens 15, 54-58 — St Paul proclame, dans sa lettre aux Corinthiens, la victoire sur la mort, grâce au Christ ressuscité, source de notre espérance.</t>
  </si>
  <si>
    <t xml:space="preserve">1 Corinthiens 15, 45-49 — St Paul oppose, dans sa lettre aux Corinthiens, Adam, l’homme terrestre, au Christ, source de vie nouvelle pour l’humanité. </t>
  </si>
  <si>
    <t>2 Corinthiens 1, 18-22 — St Paul affirme, dans sa lettre aux Corinthiens, que toutes les promesses de Dieu trouvent leur accomplissement en Jésus, le « oui » définitif du Père.</t>
  </si>
  <si>
    <t>1 Corinthiens 15, 12.16-20 — St Paul proclame, dans sa lettre aux Corinthiens, la résurrection du Christ, gage de la nôtre.</t>
  </si>
  <si>
    <t>1 Corinthiens 10, 31 – 11, 1 — St Paul nous exhorte, dans sa lettre aux Corinthiens, à imiter le Christ en toute chose, pour glorifier Dieu et servir nos frères.</t>
  </si>
  <si>
    <t xml:space="preserve">1 Corinthiens 15, 1-11 — St Paul rappelle, dans sa lettre aux Corinthiens, le cœur de la foi : le Christ est mort et ressuscité, selon les Écritures. </t>
  </si>
  <si>
    <t>Romains 16, 25-27 — St Paul, dans sa lettre aux Romains, nous révèle que le mystère du salut, jadis caché, est désormais manifesté pour tous les peuples.</t>
  </si>
  <si>
    <t>2 Corinthiens 5, 6-10 — St Paul exhorte, dans sa lettre aux Corinthiens, à vivre avec confiance, plaisant au Seigneur.</t>
  </si>
  <si>
    <t>Galates 2, 16.19-21 — St Paul rappelle, dans sa lettre aux Galates, que nous sommes justifiés par la foi au Christ, et non par la Loi.</t>
  </si>
  <si>
    <t>Galates 1, 11-19 —St Paul affirme, dans sa lettre aux Galates, que l’Évangile qu’il annonce lui vient directement de Jésus Christ, non des hommes.</t>
  </si>
  <si>
    <t>Galates 3, 26-29 — St Paul proclame, dans sa lettre aux Galates, que tous, baptisés dans le Christ, ne forment qu’un seul en Lui.</t>
  </si>
  <si>
    <t>Romains 8, 18-23 — St Paul, dans sa lettre aux Romains, nous rappelle que les souffrances présentes ne sont rien face à la gloire promise aux enfants de Dieu.</t>
  </si>
  <si>
    <t>Romains 8, 26-27 — St Paul souligne, dans sa lettre aux Romains, que l'Esprit Saint vient au secours de notre faiblesse, intercédant pour nous selon la volonté de Dieu.</t>
  </si>
  <si>
    <t>lecture3_A</t>
  </si>
  <si>
    <t>lecture3_B</t>
  </si>
  <si>
    <t>lecture3_C</t>
  </si>
  <si>
    <t>lecture4_A</t>
  </si>
  <si>
    <t>lecture4_B</t>
  </si>
  <si>
    <t>lecture4_C</t>
  </si>
  <si>
    <t>lecture5_A</t>
  </si>
  <si>
    <t>lecture5_B</t>
  </si>
  <si>
    <t>lecture5_C</t>
  </si>
  <si>
    <t>lecture6_A</t>
  </si>
  <si>
    <t>lecture6_B</t>
  </si>
  <si>
    <t>lecture6_C</t>
  </si>
  <si>
    <t>lecture7_A</t>
  </si>
  <si>
    <t>lecture7_B</t>
  </si>
  <si>
    <t>lecture7_C</t>
  </si>
  <si>
    <t>lecture8_B</t>
  </si>
  <si>
    <t>lecture8_A</t>
  </si>
  <si>
    <t>lecture8_C</t>
  </si>
  <si>
    <t xml:space="preserve">Philippiens 3, 8-14 — St Paul, dans sa lettre aux Philippiens, nous exhorte à connaître pleinement le Christ, en communiant à sa Passion pour parvenir à la résurrection. </t>
  </si>
  <si>
    <t>Isaïe 43, 16-21 — Ne faites plus mémoire des événements passés, ne songez plus aux choses d’autrefois.</t>
  </si>
  <si>
    <t>Galates 5, 16-25​ — St Paul nous appelle à rejeter les désirs égoïstes et à porter les fruits de l’Esprit, en marchant selon lui.</t>
  </si>
  <si>
    <t>Exode 12, 1-8.11-14 — Dieu institue la Pâque et ordonne un repas rituel pour que son peuple se souvienne toujours de sa libération d’Égypte.</t>
  </si>
  <si>
    <t>1 Corinthiens 11, 23-26 — St Paul, dans sa lettre aux Corinthiens, nous rappelle que l’Eucharistie fait mémoire de la mort du Christ, annoncée jusqu’à son retour.</t>
  </si>
  <si>
    <t>Hébreux 4, 14-16 ; 5, 7-9 — Le Christ, en apprenant l'obéissance à travers la souffrance, devient la source du salut éternel pour tous ceux qui lui obéissent.</t>
  </si>
  <si>
    <t>Isaïe 52, 13 – 53, 12 — Isaïe décrit le Serviteur souffrant qui, par ses douleurs et son sacrifice, porte nos fautes et réalise notre salut.</t>
  </si>
  <si>
    <t>Genèse 1, 1 – 2, 2 —  Dieu crée le monde et donne la vie, nous rappelant que toute lumière et toute beauté viennent de lui.</t>
  </si>
  <si>
    <t>Genèse 22, 1-18 — Dieu met Abraham à l’épreuve, puis confirme sa promesse en bénissant sa foi et la descendance d’Isaac.</t>
  </si>
  <si>
    <t xml:space="preserve">Exode 14, 15 – 15, 1a — Dieu fait passer son peuple à travers la mer, montrant sa puissance et sa fidélité qui libèrent.
</t>
  </si>
  <si>
    <t>Isaïe 54, 5-14 —  Comme un époux fidèle, le Seigneur relève son peuple et lui promet une paix durable.</t>
  </si>
  <si>
    <t>Isaïe 55, 1-11 —  Dieu invite chacun à venir à lui pour recevoir gratuitement la vie et entrer dans son alliance.</t>
  </si>
  <si>
    <t>Baruch 3, 9-15.32 – 4, 4 — Baruch appelle le peuple à accueillir la sagesse, lumière de Dieu pour marcher vers la vraie vie.</t>
  </si>
  <si>
    <t>Ézéchiel 36, 16-17a.18-28 — Dieu purifie son peuple et promet un cœur nouveau pour vivre selon ses chemins.</t>
  </si>
  <si>
    <t>Romains 6, 3-11 —  St Paul, dans sa lettre aux Romains, nous enseigne que le Christ ressuscité ouvre pour nous une vie nouvelle avec lui.</t>
  </si>
  <si>
    <t>Actes 10, 34a.37-43 — St Pierre proclame que Jésus, mort et ressuscité, est le juge des vivants et des morts, offrant le pardon à ceux qui croient.</t>
  </si>
  <si>
    <t>Colossiens 3, 1-4 — St Paul, dans sa lettre aux Colossiens, nous invite à tourner notre cœur vers les réalités d’en haut, là où le Christ est vivant en Dieu.
1 Corinthiens 5, 6b-8 — St Paul, dans sa lettre aux Corinthiens, nous exhorte à vivre en pâte nouvelle, dans la vérité, purifiés par le Christ.</t>
  </si>
  <si>
    <t>Actes 5, 12-16 — À travers les apôtres, le Christ guérit et attire vers lui tous ceux qui cherchent la vie.</t>
  </si>
  <si>
    <t>Actes 13, 14.43-52 — St Paul, dans sa prédication avec Barnabé, annonce l’Évangile aux nations et se tourne vers ceux que Dieu appelle.</t>
  </si>
  <si>
    <t>Actes 14, 21b-27 —  St Paul, avec Barnabé, témoigne de l’action de Dieu qui ouvre la foi aux païens.</t>
  </si>
  <si>
    <t>Actes 1, 1-11 — Luc décrit l’Ascension de Jésus, qui promet l’Esprit Saint et envoie les disciples en mission jusqu’aux extrémités du monde.</t>
  </si>
  <si>
    <t>Commémoration de tous les défunts</t>
  </si>
  <si>
    <t>Sainte Trinité</t>
  </si>
  <si>
    <t>Fête-Dieu</t>
  </si>
  <si>
    <t>Sagesse 3, 1-6.9 — Les âmes des justes sont dans la main de Dieu ; aucun tourment n’a de prise sur elles.</t>
  </si>
  <si>
    <t>1 Corinthiens 15, 51-57 — St Paul, dans sa lettre aux Corinthiens, nous rappelle que, grâce à la résurrection du Christ, la mort n’a plus de pouvoir sur nous.</t>
  </si>
  <si>
    <t>Date</t>
  </si>
  <si>
    <t>Commémoration défunts</t>
  </si>
  <si>
    <t>célébrée</t>
  </si>
  <si>
    <t>Date courte ( générer)</t>
  </si>
  <si>
    <t>Vraie année</t>
  </si>
  <si>
    <t>Année lit en cours</t>
  </si>
  <si>
    <t>4e dimanche de Pâques</t>
  </si>
  <si>
    <t>TO – 1ère partie</t>
  </si>
  <si>
    <t>TO – 2e partie</t>
  </si>
  <si>
    <t>Semaine Ste</t>
  </si>
  <si>
    <t>Actes 12, 1-11 — Dieu protège Pierre en prison, réponse à la prière fidèle de l’Église.</t>
  </si>
  <si>
    <t>Philippiens 2, 6-11 — St Paul célèbre le Christ, abaissé jusqu’à la croix, exalté par le Père comme Seigneur de l’univers.</t>
  </si>
  <si>
    <t>OUI</t>
  </si>
  <si>
    <t>non-reportée</t>
  </si>
  <si>
    <t>Isaïe 42, 1-4.6-7 — Isaïe annonce le Serviteur choisi par Dieu, porteur de justice et lumière pour les nations.</t>
  </si>
  <si>
    <t>Actes 10, 34-38 — Pierre proclame que Dieu accueille tous ceux qui le craignent et pratiquent la justice.</t>
  </si>
  <si>
    <t>Isaïe 55, 1-11 — Isaïe invite à chercher le Seigneur et promet que sa parole accomplira sa mission.</t>
  </si>
  <si>
    <t>1 Jean 5, 1-9 — Saint Jean affirme que Jésus est venu par l'eau et le sang, témoignant de notre foi.</t>
  </si>
  <si>
    <t>Isaïe 40, 1-5.9-11 — Isaïe proclame la venue du Seigneur, qui rassemble son peuple comme un berger.</t>
  </si>
  <si>
    <t>Tite 2, 11-14 ; 3, 4-7 — St Paul nous rappelle que le salut nous est offert par la miséricorde de Dieu, par le bain du baptême.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</si>
</sst>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;@"/>
    <numFmt numFmtId="165" formatCode="[$-F800]dddd\,\ mmmm\ dd\,\ yyyy"/>
  </numFmts>
  <fonts count="6" x14ac:knownFonts="1"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3" borderId="0" applyNumberFormat="0" applyBorder="0" applyAlignment="0" applyProtection="0"/>
    <xf numFmtId="0" fontId="3" fillId="4" borderId="10" applyNumberFormat="0" applyAlignment="0" applyProtection="0"/>
  </cellStyleXfs>
  <cellXfs count="41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horizontal="left" vertical="top"/>
    </xf>
    <xf numFmtId="0" fontId="0" fillId="0" borderId="1" xfId="0" applyBorder="1" applyAlignment="1">
      <alignment vertical="top" wrapText="1"/>
    </xf>
    <xf numFmtId="164" fontId="0" fillId="0" borderId="1" xfId="0" applyNumberFormat="1" applyBorder="1" applyAlignment="1">
      <alignment horizontal="left" vertical="top"/>
    </xf>
    <xf numFmtId="164" fontId="0" fillId="0" borderId="1" xfId="0" applyNumberFormat="1" applyBorder="1" applyAlignment="1">
      <alignment horizontal="left" vertical="top" wrapText="1"/>
    </xf>
    <xf numFmtId="16" fontId="0" fillId="0" borderId="1" xfId="0" applyNumberFormat="1" applyBorder="1" applyAlignment="1">
      <alignment horizontal="left" vertical="top" wrapText="1"/>
    </xf>
    <xf numFmtId="14" fontId="0" fillId="0" borderId="0" xfId="0" applyNumberFormat="1"/>
    <xf numFmtId="0" fontId="2" fillId="0" borderId="0" xfId="0" applyFont="1" applyAlignment="1">
      <alignment vertical="top" wrapText="1"/>
    </xf>
    <xf numFmtId="164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" fillId="3" borderId="1" xfId="1" applyNumberFormat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left" vertical="top" wrapText="1"/>
    </xf>
    <xf numFmtId="165" fontId="0" fillId="0" borderId="0" xfId="0" applyNumberFormat="1" applyAlignment="1">
      <alignment horizontal="left" vertical="top"/>
    </xf>
    <xf numFmtId="165" fontId="0" fillId="0" borderId="1" xfId="0" applyNumberFormat="1" applyBorder="1" applyAlignment="1">
      <alignment horizontal="left" vertical="top"/>
    </xf>
    <xf numFmtId="165" fontId="0" fillId="0" borderId="1" xfId="0" applyNumberFormat="1" applyBorder="1" applyAlignment="1">
      <alignment horizontal="left" vertical="top" wrapText="1"/>
    </xf>
    <xf numFmtId="0" fontId="1" fillId="3" borderId="7" xfId="1" applyBorder="1" applyAlignment="1">
      <alignment horizontal="left" vertical="top" wrapText="1"/>
    </xf>
    <xf numFmtId="0" fontId="1" fillId="3" borderId="1" xfId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14" fontId="2" fillId="0" borderId="0" xfId="0" applyNumberFormat="1" applyFont="1" applyAlignment="1">
      <alignment horizontal="left" vertical="top" wrapText="1"/>
    </xf>
    <xf numFmtId="14" fontId="0" fillId="0" borderId="1" xfId="0" applyNumberFormat="1" applyBorder="1" applyAlignment="1">
      <alignment horizontal="left" vertical="top" wrapText="1"/>
    </xf>
    <xf numFmtId="0" fontId="1" fillId="3" borderId="6" xfId="1" applyNumberFormat="1" applyBorder="1" applyAlignment="1">
      <alignment horizontal="left" vertical="top" wrapText="1"/>
    </xf>
    <xf numFmtId="0" fontId="1" fillId="3" borderId="4" xfId="1" applyNumberFormat="1" applyBorder="1" applyAlignment="1">
      <alignment horizontal="left" vertical="top" wrapText="1"/>
    </xf>
    <xf numFmtId="0" fontId="1" fillId="3" borderId="5" xfId="1" applyNumberFormat="1" applyBorder="1" applyAlignment="1">
      <alignment horizontal="left" vertical="top" wrapText="1"/>
    </xf>
    <xf numFmtId="0" fontId="1" fillId="3" borderId="8" xfId="1" applyNumberFormat="1" applyBorder="1" applyAlignment="1">
      <alignment horizontal="left" vertical="top" wrapText="1"/>
    </xf>
    <xf numFmtId="0" fontId="4" fillId="0" borderId="0" xfId="0" applyFont="1"/>
    <xf numFmtId="0" fontId="3" fillId="4" borderId="10" xfId="2" applyAlignment="1">
      <alignment vertical="top" wrapText="1"/>
    </xf>
    <xf numFmtId="165" fontId="0" fillId="0" borderId="11" xfId="0" applyNumberFormat="1" applyBorder="1" applyAlignment="1">
      <alignment horizontal="left" vertical="top" wrapText="1"/>
    </xf>
    <xf numFmtId="0" fontId="0" fillId="5" borderId="0" xfId="0" applyFill="1"/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</cellXfs>
  <cellStyles count="3">
    <cellStyle name="Entrée" xfId="2" builtinId="20"/>
    <cellStyle name="Neutre" xfId="1" builtinId="28"/>
    <cellStyle name="Normal" xfId="0" builtinId="0"/>
  </cellStyles>
  <dxfs count="24">
    <dxf>
      <fill>
        <patternFill>
          <bgColor rgb="FF92D050"/>
        </patternFill>
      </fill>
    </dxf>
    <dxf>
      <font>
        <b/>
        <i/>
        <strike val="0"/>
        <color theme="0"/>
      </font>
      <fill>
        <patternFill>
          <bgColor rgb="FFC00000"/>
        </patternFill>
      </fill>
    </dxf>
    <dxf>
      <fill>
        <patternFill>
          <bgColor theme="0" tint="-0.34998626667073579"/>
        </patternFill>
      </fill>
    </dxf>
    <dxf>
      <font>
        <color rgb="FF006100"/>
      </font>
      <fill>
        <patternFill>
          <fgColor auto="1"/>
          <bgColor theme="6" tint="0.79998168889431442"/>
        </patternFill>
      </fill>
    </dxf>
    <dxf>
      <font>
        <color rgb="FF006100"/>
      </font>
      <fill>
        <patternFill>
          <fgColor auto="1"/>
          <bgColor theme="6" tint="0.79998168889431442"/>
        </patternFill>
      </fill>
    </dxf>
    <dxf>
      <font>
        <color rgb="FF006100"/>
      </font>
      <fill>
        <patternFill>
          <fgColor auto="1"/>
          <bgColor theme="6" tint="0.79998168889431442"/>
        </patternFill>
      </fill>
    </dxf>
    <dxf>
      <font>
        <color rgb="FF006100"/>
      </font>
      <fill>
        <patternFill>
          <fgColor auto="1"/>
          <bgColor theme="6" tint="0.79998168889431442"/>
        </patternFill>
      </fill>
    </dxf>
    <dxf>
      <font>
        <color rgb="FF006100"/>
      </font>
      <fill>
        <patternFill>
          <fgColor auto="1"/>
          <bgColor theme="6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/>
        <color theme="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94</xdr:row>
          <xdr:rowOff>45720</xdr:rowOff>
        </xdr:from>
        <xdr:to>
          <xdr:col>9</xdr:col>
          <xdr:colOff>2423160</xdr:colOff>
          <xdr:row>98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docx (selectionner dates dans colonne H)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8E76-73A1-44EE-898C-B0D33DC8AFF6}">
  <sheetPr codeName="Feuil1"/>
  <dimension ref="A1:AA101"/>
  <sheetViews>
    <sheetView topLeftCell="A36" zoomScale="89" zoomScaleNormal="100" workbookViewId="0">
      <selection activeCell="C8" sqref="C8"/>
    </sheetView>
  </sheetViews>
  <sheetFormatPr baseColWidth="10" defaultColWidth="11.5546875" defaultRowHeight="14.4" x14ac:dyDescent="0.3"/>
  <cols>
    <col min="1" max="1" width="23" style="16" customWidth="1"/>
    <col min="2" max="2" width="18.44140625" style="26" customWidth="1"/>
    <col min="3" max="3" width="28.109375" style="20" customWidth="1"/>
    <col min="4" max="6" width="28.33203125" style="16" customWidth="1"/>
    <col min="7" max="7" width="28.6640625" style="16" customWidth="1"/>
    <col min="8" max="9" width="28.33203125" style="16" customWidth="1"/>
    <col min="10" max="10" width="26.109375" style="1" customWidth="1"/>
    <col min="11" max="11" width="27" style="1" customWidth="1"/>
    <col min="12" max="12" width="31.6640625" style="1" customWidth="1"/>
    <col min="13" max="13" width="34.44140625" style="1" customWidth="1"/>
    <col min="14" max="14" width="24.44140625" style="1" customWidth="1"/>
    <col min="15" max="15" width="24.109375" style="1" customWidth="1"/>
    <col min="16" max="16384" width="11.5546875" style="1"/>
  </cols>
  <sheetData>
    <row r="1" spans="1:27" hidden="1" x14ac:dyDescent="0.3">
      <c r="A1" s="1" t="s">
        <v>289</v>
      </c>
      <c r="B1" s="1" t="s">
        <v>287</v>
      </c>
      <c r="C1" s="1" t="s">
        <v>288</v>
      </c>
      <c r="D1" s="1" t="s">
        <v>290</v>
      </c>
      <c r="E1" s="1" t="s">
        <v>291</v>
      </c>
      <c r="F1" s="1" t="s">
        <v>292</v>
      </c>
      <c r="G1" s="1" t="s">
        <v>293</v>
      </c>
      <c r="H1" s="1" t="s">
        <v>294</v>
      </c>
      <c r="I1" s="1" t="s">
        <v>295</v>
      </c>
      <c r="J1" s="1" t="s">
        <v>469</v>
      </c>
      <c r="K1" s="1" t="s">
        <v>470</v>
      </c>
      <c r="L1" s="1" t="s">
        <v>471</v>
      </c>
      <c r="M1" s="1" t="s">
        <v>472</v>
      </c>
      <c r="N1" s="1" t="s">
        <v>473</v>
      </c>
      <c r="O1" s="1" t="s">
        <v>474</v>
      </c>
      <c r="P1" s="1" t="s">
        <v>475</v>
      </c>
      <c r="Q1" s="1" t="s">
        <v>476</v>
      </c>
      <c r="R1" s="1" t="s">
        <v>477</v>
      </c>
      <c r="S1" s="1" t="s">
        <v>478</v>
      </c>
      <c r="T1" s="1" t="s">
        <v>479</v>
      </c>
      <c r="U1" s="1" t="s">
        <v>480</v>
      </c>
      <c r="V1" s="1" t="s">
        <v>481</v>
      </c>
      <c r="W1" s="1" t="s">
        <v>482</v>
      </c>
      <c r="X1" s="1" t="s">
        <v>483</v>
      </c>
      <c r="Y1" s="1" t="s">
        <v>485</v>
      </c>
      <c r="Z1" s="1" t="s">
        <v>484</v>
      </c>
      <c r="AA1" s="1" t="s">
        <v>486</v>
      </c>
    </row>
    <row r="2" spans="1:27" x14ac:dyDescent="0.3">
      <c r="A2" s="1"/>
      <c r="D2" s="13" t="s">
        <v>301</v>
      </c>
      <c r="E2" s="13" t="s">
        <v>302</v>
      </c>
      <c r="F2" s="15" t="s">
        <v>303</v>
      </c>
      <c r="G2" s="14" t="s">
        <v>301</v>
      </c>
      <c r="H2" s="13" t="s">
        <v>302</v>
      </c>
      <c r="I2" s="13" t="s">
        <v>303</v>
      </c>
    </row>
    <row r="3" spans="1:27" x14ac:dyDescent="0.3">
      <c r="A3" s="27" t="s">
        <v>0</v>
      </c>
      <c r="B3" s="28"/>
      <c r="D3" s="38" t="s">
        <v>296</v>
      </c>
      <c r="E3" s="39"/>
      <c r="F3" s="39"/>
      <c r="G3" s="39" t="s">
        <v>297</v>
      </c>
      <c r="H3" s="39"/>
      <c r="I3" s="40"/>
    </row>
    <row r="4" spans="1:27" ht="72" x14ac:dyDescent="0.3">
      <c r="A4" s="13" t="s">
        <v>1</v>
      </c>
      <c r="B4" s="29">
        <f>C4</f>
        <v>45627</v>
      </c>
      <c r="C4" s="21">
        <f>Feuil2!H6</f>
        <v>45627</v>
      </c>
      <c r="D4" s="13" t="s">
        <v>93</v>
      </c>
      <c r="E4" s="13" t="s">
        <v>94</v>
      </c>
      <c r="F4" s="15" t="s">
        <v>95</v>
      </c>
      <c r="G4" s="14" t="s">
        <v>448</v>
      </c>
      <c r="H4" s="13" t="s">
        <v>283</v>
      </c>
      <c r="I4" s="13" t="s">
        <v>319</v>
      </c>
    </row>
    <row r="5" spans="1:27" s="16" customFormat="1" ht="72" x14ac:dyDescent="0.3">
      <c r="A5" s="13" t="s">
        <v>2</v>
      </c>
      <c r="B5" s="29" t="str">
        <f t="shared" ref="B5:B7" si="0">C5</f>
        <v/>
      </c>
      <c r="C5" s="21" t="str">
        <f>Feuil2!H7</f>
        <v/>
      </c>
      <c r="D5" s="13" t="s">
        <v>96</v>
      </c>
      <c r="E5" s="13" t="s">
        <v>444</v>
      </c>
      <c r="F5" s="15" t="s">
        <v>97</v>
      </c>
      <c r="G5" s="14" t="s">
        <v>449</v>
      </c>
      <c r="H5" s="13" t="s">
        <v>98</v>
      </c>
      <c r="I5" s="13" t="s">
        <v>99</v>
      </c>
    </row>
    <row r="6" spans="1:27" ht="57.6" x14ac:dyDescent="0.3">
      <c r="A6" s="13" t="s">
        <v>3</v>
      </c>
      <c r="B6" s="29">
        <f t="shared" si="0"/>
        <v>45641</v>
      </c>
      <c r="C6" s="21">
        <f>Feuil2!H8</f>
        <v>45641</v>
      </c>
      <c r="D6" s="13" t="s">
        <v>100</v>
      </c>
      <c r="E6" s="13" t="s">
        <v>101</v>
      </c>
      <c r="F6" s="15" t="s">
        <v>102</v>
      </c>
      <c r="G6" s="14" t="s">
        <v>103</v>
      </c>
      <c r="H6" s="13" t="s">
        <v>104</v>
      </c>
      <c r="I6" s="13" t="s">
        <v>105</v>
      </c>
    </row>
    <row r="7" spans="1:27" ht="57.6" x14ac:dyDescent="0.3">
      <c r="A7" s="13" t="s">
        <v>4</v>
      </c>
      <c r="B7" s="29">
        <f t="shared" si="0"/>
        <v>45648</v>
      </c>
      <c r="C7" s="21">
        <f>Feuil2!H9</f>
        <v>45648</v>
      </c>
      <c r="D7" s="13" t="s">
        <v>106</v>
      </c>
      <c r="E7" s="13" t="s">
        <v>107</v>
      </c>
      <c r="F7" s="15" t="s">
        <v>108</v>
      </c>
      <c r="G7" s="14" t="s">
        <v>445</v>
      </c>
      <c r="H7" s="13" t="s">
        <v>109</v>
      </c>
      <c r="I7" s="13" t="s">
        <v>446</v>
      </c>
    </row>
    <row r="8" spans="1:27" x14ac:dyDescent="0.3">
      <c r="C8" s="21"/>
    </row>
    <row r="9" spans="1:27" x14ac:dyDescent="0.3">
      <c r="A9" s="27" t="s">
        <v>5</v>
      </c>
      <c r="B9" s="28"/>
      <c r="C9" s="21" t="str">
        <f>Feuil2!H11</f>
        <v/>
      </c>
    </row>
    <row r="10" spans="1:27" ht="84.6" customHeight="1" x14ac:dyDescent="0.3">
      <c r="A10" s="13" t="s">
        <v>6</v>
      </c>
      <c r="B10" s="29">
        <f>C10</f>
        <v>45650</v>
      </c>
      <c r="C10" s="21">
        <f>Feuil2!H12</f>
        <v>45650</v>
      </c>
      <c r="D10" s="17" t="s">
        <v>110</v>
      </c>
      <c r="E10" s="17" t="str">
        <f>D10</f>
        <v xml:space="preserve">2 Samuel 7, 1-5.8b-12.14a.16 — Dieu promet à David une maison éternelle, un royaume stable et fidèle qui ne passera pas. </v>
      </c>
      <c r="F10" s="30" t="str">
        <f>D10</f>
        <v xml:space="preserve">2 Samuel 7, 1-5.8b-12.14a.16 — Dieu promet à David une maison éternelle, un royaume stable et fidèle qui ne passera pas. </v>
      </c>
      <c r="G10" s="31" t="s">
        <v>462</v>
      </c>
      <c r="H10" s="17" t="str">
        <f>G10</f>
        <v>Romains 16, 25-27 — St Paul, dans sa lettre aux Romains, nous révèle que le mystère du salut, jadis caché, est désormais manifesté pour tous les peuples.</v>
      </c>
      <c r="I10" s="17" t="str">
        <f>G10</f>
        <v>Romains 16, 25-27 — St Paul, dans sa lettre aux Romains, nous révèle que le mystère du salut, jadis caché, est désormais manifesté pour tous les peuples.</v>
      </c>
    </row>
    <row r="11" spans="1:27" ht="57.6" x14ac:dyDescent="0.3">
      <c r="A11" s="13" t="s">
        <v>7</v>
      </c>
      <c r="B11" s="29">
        <f t="shared" ref="B11:B19" si="1">C11</f>
        <v>45650</v>
      </c>
      <c r="C11" s="21">
        <f>C10</f>
        <v>45650</v>
      </c>
      <c r="D11" s="17" t="s">
        <v>425</v>
      </c>
      <c r="E11" s="17" t="str">
        <f>D11</f>
        <v>Isaïe 9, 1-6 — Un enfant nous est né : lumière dans la nuit, il apporte paix, joie et salut.</v>
      </c>
      <c r="F11" s="30" t="str">
        <f>D11</f>
        <v>Isaïe 9, 1-6 — Un enfant nous est né : lumière dans la nuit, il apporte paix, joie et salut.</v>
      </c>
      <c r="G11" s="31" t="s">
        <v>426</v>
      </c>
      <c r="H11" s="17" t="str">
        <f t="shared" ref="H11:H13" si="2">G11</f>
        <v>Tite 2, 11-14 —  La grâce de Dieu s’est manifestée pour tous : elle nous apprend à vivre dans l’attente du Sauveur.</v>
      </c>
      <c r="I11" s="17" t="str">
        <f t="shared" ref="I11:I13" si="3">G11</f>
        <v>Tite 2, 11-14 —  La grâce de Dieu s’est manifestée pour tous : elle nous apprend à vivre dans l’attente du Sauveur.</v>
      </c>
    </row>
    <row r="12" spans="1:27" ht="57.6" x14ac:dyDescent="0.3">
      <c r="A12" s="13" t="s">
        <v>8</v>
      </c>
      <c r="B12" s="29">
        <f t="shared" si="1"/>
        <v>45651</v>
      </c>
      <c r="C12" s="21">
        <f>Feuil2!H13</f>
        <v>45651</v>
      </c>
      <c r="D12" s="17" t="s">
        <v>427</v>
      </c>
      <c r="E12" s="17" t="str">
        <f t="shared" ref="E12:E15" si="4">D12</f>
        <v>Isaïe 62, 11-12— Voici que le Seigneur vient : son peuple est proclamé "racheté", porteur d’espérance.</v>
      </c>
      <c r="F12" s="30" t="str">
        <f t="shared" ref="F12:F15" si="5">D12</f>
        <v>Isaïe 62, 11-12— Voici que le Seigneur vient : son peuple est proclamé "racheté", porteur d’espérance.</v>
      </c>
      <c r="G12" s="31" t="s">
        <v>307</v>
      </c>
      <c r="H12" s="17" t="str">
        <f t="shared" si="2"/>
        <v>Tite 3, 4-7 — St Paul rappelle que Dieu, dans sa miséricorde, nous sauve par l’Esprit et nous fait héritiers de la vie éternelle.</v>
      </c>
      <c r="I12" s="17" t="str">
        <f t="shared" si="3"/>
        <v>Tite 3, 4-7 — St Paul rappelle que Dieu, dans sa miséricorde, nous sauve par l’Esprit et nous fait héritiers de la vie éternelle.</v>
      </c>
    </row>
    <row r="13" spans="1:27" ht="62.4" customHeight="1" x14ac:dyDescent="0.3">
      <c r="A13" s="13" t="s">
        <v>9</v>
      </c>
      <c r="B13" s="29">
        <f t="shared" si="1"/>
        <v>45651</v>
      </c>
      <c r="C13" s="21">
        <f>C12</f>
        <v>45651</v>
      </c>
      <c r="D13" s="17" t="s">
        <v>428</v>
      </c>
      <c r="E13" s="17" t="str">
        <f t="shared" si="4"/>
        <v>Isaïe 52, 7-10 — La voix du messager proclame la paix : Dieu règne et sauve son peuple aux yeux de tous.</v>
      </c>
      <c r="F13" s="30" t="str">
        <f t="shared" si="5"/>
        <v>Isaïe 52, 7-10 — La voix du messager proclame la paix : Dieu règne et sauve son peuple aux yeux de tous.</v>
      </c>
      <c r="G13" s="31" t="s">
        <v>429</v>
      </c>
      <c r="H13" s="17" t="str">
        <f t="shared" si="2"/>
        <v>Hébreux 1, 1-6— Dieu parle désormais par son Fils, reflet de sa gloire et héritier de toutes choses.</v>
      </c>
      <c r="I13" s="17" t="str">
        <f t="shared" si="3"/>
        <v>Hébreux 1, 1-6— Dieu parle désormais par son Fils, reflet de sa gloire et héritier de toutes choses.</v>
      </c>
    </row>
    <row r="14" spans="1:27" ht="73.95" customHeight="1" x14ac:dyDescent="0.3">
      <c r="A14" s="13" t="s">
        <v>76</v>
      </c>
      <c r="B14" s="29">
        <f t="shared" si="1"/>
        <v>45652</v>
      </c>
      <c r="C14" s="21">
        <f>Feuil2!H14</f>
        <v>45652</v>
      </c>
      <c r="D14" s="17" t="s">
        <v>111</v>
      </c>
      <c r="E14" s="17" t="str">
        <f t="shared" si="4"/>
        <v>Actes 6, 8-10 ; 7, 54-59 — Étienne, rempli de l’Esprit, rend témoignage au Christ jusqu’au martyre, confiant en la miséricorde divine.</v>
      </c>
      <c r="F14" s="30" t="str">
        <f t="shared" si="5"/>
        <v>Actes 6, 8-10 ; 7, 54-59 — Étienne, rempli de l’Esprit, rend témoignage au Christ jusqu’au martyre, confiant en la miséricorde divine.</v>
      </c>
      <c r="G14" s="25"/>
      <c r="H14" s="18"/>
      <c r="I14" s="19"/>
    </row>
    <row r="15" spans="1:27" ht="75" customHeight="1" x14ac:dyDescent="0.3">
      <c r="A15" s="13" t="s">
        <v>77</v>
      </c>
      <c r="B15" s="29">
        <f t="shared" si="1"/>
        <v>45653</v>
      </c>
      <c r="C15" s="21">
        <f>Feuil2!H15</f>
        <v>45653</v>
      </c>
      <c r="D15" s="17" t="s">
        <v>112</v>
      </c>
      <c r="E15" s="17" t="str">
        <f t="shared" si="4"/>
        <v>1 Jean 1, 1-4— St Jean témoigne du Verbe de vie manifesté, et nous appelle à la communion et au pardon par le Christ.</v>
      </c>
      <c r="F15" s="30" t="str">
        <f t="shared" si="5"/>
        <v>1 Jean 1, 1-4— St Jean témoigne du Verbe de vie manifesté, et nous appelle à la communion et au pardon par le Christ.</v>
      </c>
      <c r="G15" s="25"/>
      <c r="H15" s="18"/>
      <c r="I15" s="18"/>
    </row>
    <row r="16" spans="1:27" ht="57.6" x14ac:dyDescent="0.3">
      <c r="A16" s="13" t="s">
        <v>91</v>
      </c>
      <c r="B16" s="29">
        <f t="shared" si="1"/>
        <v>45655</v>
      </c>
      <c r="C16" s="21">
        <f>Feuil2!H16</f>
        <v>45655</v>
      </c>
      <c r="D16" s="13" t="s">
        <v>113</v>
      </c>
      <c r="E16" s="13" t="s">
        <v>114</v>
      </c>
      <c r="F16" s="15" t="s">
        <v>115</v>
      </c>
      <c r="G16" s="14" t="s">
        <v>116</v>
      </c>
      <c r="H16" s="13" t="s">
        <v>117</v>
      </c>
      <c r="I16" s="13" t="s">
        <v>118</v>
      </c>
    </row>
    <row r="17" spans="1:9" ht="55.95" customHeight="1" x14ac:dyDescent="0.3">
      <c r="A17" s="13" t="s">
        <v>10</v>
      </c>
      <c r="B17" s="29">
        <f t="shared" si="1"/>
        <v>45658</v>
      </c>
      <c r="C17" s="21">
        <f>Feuil2!H17</f>
        <v>45658</v>
      </c>
      <c r="D17" s="17" t="s">
        <v>119</v>
      </c>
      <c r="E17" s="17" t="str">
        <f>D17</f>
        <v>Nombres 6, 22-27 — Dieu bénit son peuple par des paroles de paix, de grâce et de protection.</v>
      </c>
      <c r="F17" s="30" t="str">
        <f>D17</f>
        <v>Nombres 6, 22-27 — Dieu bénit son peuple par des paroles de paix, de grâce et de protection.</v>
      </c>
      <c r="G17" s="31" t="s">
        <v>120</v>
      </c>
      <c r="H17" s="17" t="str">
        <f>G17</f>
        <v>Galates 4, 4-7 — Dieu a envoyé son Fils pour que nous devenions ses enfants et héritiers.</v>
      </c>
      <c r="I17" s="17" t="str">
        <f>G17</f>
        <v>Galates 4, 4-7 — Dieu a envoyé son Fils pour que nous devenions ses enfants et héritiers.</v>
      </c>
    </row>
    <row r="18" spans="1:9" ht="72" customHeight="1" x14ac:dyDescent="0.3">
      <c r="A18" s="13" t="s">
        <v>92</v>
      </c>
      <c r="B18" s="29">
        <f t="shared" si="1"/>
        <v>45662</v>
      </c>
      <c r="C18" s="21">
        <f>Feuil2!H18</f>
        <v>45662</v>
      </c>
      <c r="D18" s="17" t="s">
        <v>121</v>
      </c>
      <c r="E18" s="17" t="str">
        <f>D18</f>
        <v>Isaïe 60, 1-6 — Jérusalem est appelée à resplendir, car la gloire du Seigneur l’illumine et attire les nations.</v>
      </c>
      <c r="F18" s="30" t="str">
        <f>D18</f>
        <v>Isaïe 60, 1-6 — Jérusalem est appelée à resplendir, car la gloire du Seigneur l’illumine et attire les nations.</v>
      </c>
      <c r="G18" s="31" t="s">
        <v>122</v>
      </c>
      <c r="H18" s="17" t="str">
        <f>G18</f>
        <v>Éphésiens 3, 2-3a.5-6 — St Paul révèle que les païens partagent la même promesse et la même mission en Christ.</v>
      </c>
      <c r="I18" s="17" t="str">
        <f>G18</f>
        <v>Éphésiens 3, 2-3a.5-6 — St Paul révèle que les païens partagent la même promesse et la même mission en Christ.</v>
      </c>
    </row>
    <row r="19" spans="1:9" ht="72" x14ac:dyDescent="0.3">
      <c r="A19" s="13" t="s">
        <v>11</v>
      </c>
      <c r="B19" s="29">
        <f t="shared" si="1"/>
        <v>45669</v>
      </c>
      <c r="C19" s="21">
        <f>Feuil2!H19</f>
        <v>45669</v>
      </c>
      <c r="D19" s="13" t="s">
        <v>320</v>
      </c>
      <c r="E19" s="13" t="s">
        <v>321</v>
      </c>
      <c r="F19" s="15" t="s">
        <v>322</v>
      </c>
      <c r="G19" s="14" t="s">
        <v>123</v>
      </c>
      <c r="H19" s="13" t="s">
        <v>323</v>
      </c>
      <c r="I19" s="13" t="s">
        <v>124</v>
      </c>
    </row>
    <row r="20" spans="1:9" x14ac:dyDescent="0.3">
      <c r="C20" s="21" t="str">
        <f>Feuil2!H20</f>
        <v/>
      </c>
    </row>
    <row r="21" spans="1:9" ht="28.8" x14ac:dyDescent="0.3">
      <c r="A21" s="27" t="s">
        <v>12</v>
      </c>
      <c r="B21" s="28"/>
      <c r="C21" s="21" t="str">
        <f>Feuil2!H21</f>
        <v/>
      </c>
    </row>
    <row r="22" spans="1:9" ht="57.6" x14ac:dyDescent="0.3">
      <c r="A22" s="13" t="s">
        <v>86</v>
      </c>
      <c r="B22" s="29" t="str">
        <f t="shared" ref="B22:B30" si="6">C22</f>
        <v/>
      </c>
      <c r="C22" s="21" t="str">
        <f>Feuil2!H22</f>
        <v/>
      </c>
      <c r="D22" s="13" t="s">
        <v>527</v>
      </c>
      <c r="E22" s="13" t="s">
        <v>529</v>
      </c>
      <c r="F22" s="15" t="s">
        <v>531</v>
      </c>
      <c r="G22" s="14" t="s">
        <v>528</v>
      </c>
      <c r="H22" s="13" t="s">
        <v>530</v>
      </c>
      <c r="I22" s="13" t="s">
        <v>532</v>
      </c>
    </row>
    <row r="23" spans="1:9" ht="72" x14ac:dyDescent="0.3">
      <c r="A23" s="13" t="s">
        <v>13</v>
      </c>
      <c r="B23" s="29">
        <f t="shared" si="6"/>
        <v>45676</v>
      </c>
      <c r="C23" s="21">
        <f>Feuil2!H23</f>
        <v>45676</v>
      </c>
      <c r="D23" s="13" t="s">
        <v>433</v>
      </c>
      <c r="E23" s="13" t="s">
        <v>332</v>
      </c>
      <c r="F23" s="15" t="s">
        <v>434</v>
      </c>
      <c r="G23" s="14" t="s">
        <v>327</v>
      </c>
      <c r="H23" s="13" t="s">
        <v>328</v>
      </c>
      <c r="I23" s="13" t="s">
        <v>436</v>
      </c>
    </row>
    <row r="24" spans="1:9" ht="112.95" customHeight="1" x14ac:dyDescent="0.3">
      <c r="A24" s="13" t="s">
        <v>14</v>
      </c>
      <c r="B24" s="29">
        <f t="shared" si="6"/>
        <v>45683</v>
      </c>
      <c r="C24" s="21">
        <f>Feuil2!H24</f>
        <v>45683</v>
      </c>
      <c r="D24" s="13" t="s">
        <v>435</v>
      </c>
      <c r="E24" s="13" t="s">
        <v>324</v>
      </c>
      <c r="F24" s="15" t="s">
        <v>437</v>
      </c>
      <c r="G24" s="14" t="s">
        <v>282</v>
      </c>
      <c r="H24" s="13" t="s">
        <v>125</v>
      </c>
      <c r="I24" s="13" t="s">
        <v>329</v>
      </c>
    </row>
    <row r="25" spans="1:9" ht="86.4" x14ac:dyDescent="0.3">
      <c r="A25" s="13" t="s">
        <v>15</v>
      </c>
      <c r="B25" s="29" t="str">
        <f t="shared" si="6"/>
        <v/>
      </c>
      <c r="C25" s="21" t="str">
        <f>Feuil2!H25</f>
        <v/>
      </c>
      <c r="D25" s="13" t="s">
        <v>438</v>
      </c>
      <c r="E25" s="13" t="s">
        <v>126</v>
      </c>
      <c r="F25" s="15" t="s">
        <v>325</v>
      </c>
      <c r="G25" s="14" t="s">
        <v>127</v>
      </c>
      <c r="H25" s="13" t="s">
        <v>450</v>
      </c>
      <c r="I25" s="13" t="s">
        <v>128</v>
      </c>
    </row>
    <row r="26" spans="1:9" ht="72" x14ac:dyDescent="0.3">
      <c r="A26" s="13" t="s">
        <v>16</v>
      </c>
      <c r="B26" s="29">
        <f t="shared" si="6"/>
        <v>45697</v>
      </c>
      <c r="C26" s="21">
        <f>Feuil2!H26</f>
        <v>45697</v>
      </c>
      <c r="D26" s="13" t="s">
        <v>439</v>
      </c>
      <c r="E26" s="13" t="s">
        <v>330</v>
      </c>
      <c r="F26" s="15" t="s">
        <v>129</v>
      </c>
      <c r="G26" s="14" t="s">
        <v>130</v>
      </c>
      <c r="H26" s="13" t="s">
        <v>451</v>
      </c>
      <c r="I26" s="13" t="s">
        <v>461</v>
      </c>
    </row>
    <row r="27" spans="1:9" ht="86.4" x14ac:dyDescent="0.3">
      <c r="A27" s="13" t="s">
        <v>17</v>
      </c>
      <c r="B27" s="29">
        <f t="shared" si="6"/>
        <v>45704</v>
      </c>
      <c r="C27" s="21">
        <f>Feuil2!H27</f>
        <v>45704</v>
      </c>
      <c r="D27" s="13" t="s">
        <v>440</v>
      </c>
      <c r="E27" s="13" t="s">
        <v>441</v>
      </c>
      <c r="F27" s="15" t="s">
        <v>326</v>
      </c>
      <c r="G27" s="14" t="s">
        <v>452</v>
      </c>
      <c r="H27" s="13" t="s">
        <v>460</v>
      </c>
      <c r="I27" s="13" t="s">
        <v>459</v>
      </c>
    </row>
    <row r="28" spans="1:9" ht="86.4" x14ac:dyDescent="0.3">
      <c r="A28" s="13" t="s">
        <v>18</v>
      </c>
      <c r="B28" s="29">
        <f t="shared" si="6"/>
        <v>45711</v>
      </c>
      <c r="C28" s="21">
        <f>Feuil2!H28</f>
        <v>45711</v>
      </c>
      <c r="D28" s="13" t="s">
        <v>131</v>
      </c>
      <c r="E28" s="13" t="s">
        <v>333</v>
      </c>
      <c r="F28" s="15" t="s">
        <v>132</v>
      </c>
      <c r="G28" s="14" t="s">
        <v>453</v>
      </c>
      <c r="H28" s="13" t="s">
        <v>458</v>
      </c>
      <c r="I28" s="13" t="s">
        <v>457</v>
      </c>
    </row>
    <row r="29" spans="1:9" ht="86.4" x14ac:dyDescent="0.3">
      <c r="A29" s="13" t="s">
        <v>19</v>
      </c>
      <c r="B29" s="29">
        <f t="shared" si="6"/>
        <v>45718</v>
      </c>
      <c r="C29" s="21">
        <f>Feuil2!H29</f>
        <v>45718</v>
      </c>
      <c r="D29" s="13" t="s">
        <v>133</v>
      </c>
      <c r="E29" s="13" t="s">
        <v>134</v>
      </c>
      <c r="F29" s="15" t="s">
        <v>135</v>
      </c>
      <c r="G29" s="14" t="s">
        <v>454</v>
      </c>
      <c r="H29" s="13" t="s">
        <v>431</v>
      </c>
      <c r="I29" s="13" t="s">
        <v>456</v>
      </c>
    </row>
    <row r="30" spans="1:9" ht="86.4" x14ac:dyDescent="0.3">
      <c r="A30" s="13" t="s">
        <v>20</v>
      </c>
      <c r="B30" s="29" t="str">
        <f t="shared" si="6"/>
        <v/>
      </c>
      <c r="C30" s="21" t="str">
        <f>Feuil2!H30</f>
        <v/>
      </c>
      <c r="D30" s="13" t="s">
        <v>136</v>
      </c>
      <c r="E30" s="13" t="s">
        <v>443</v>
      </c>
      <c r="F30" s="15" t="s">
        <v>442</v>
      </c>
      <c r="G30" s="14" t="s">
        <v>455</v>
      </c>
      <c r="H30" s="13" t="s">
        <v>308</v>
      </c>
      <c r="I30" s="13" t="s">
        <v>309</v>
      </c>
    </row>
    <row r="31" spans="1:9" x14ac:dyDescent="0.3">
      <c r="C31" s="21"/>
    </row>
    <row r="32" spans="1:9" x14ac:dyDescent="0.3">
      <c r="A32" s="27" t="s">
        <v>21</v>
      </c>
      <c r="B32" s="28"/>
      <c r="C32" s="21"/>
    </row>
    <row r="33" spans="1:27" ht="108" customHeight="1" x14ac:dyDescent="0.3">
      <c r="A33" s="13" t="s">
        <v>22</v>
      </c>
      <c r="B33" s="29">
        <f>C33</f>
        <v>45721</v>
      </c>
      <c r="C33" s="20">
        <f>Feuil2!H33</f>
        <v>45721</v>
      </c>
      <c r="D33" s="17" t="s">
        <v>331</v>
      </c>
      <c r="E33" s="17" t="str">
        <f>D33</f>
        <v>Joël 2, 12-18 — Joël appelle à revenir au Seigneur de tout son cœur, car il est miséricordieux, lent à la colère et plein d’amour.</v>
      </c>
      <c r="F33" s="30" t="str">
        <f>D33</f>
        <v>Joël 2, 12-18 — Joël appelle à revenir au Seigneur de tout son cœur, car il est miséricordieux, lent à la colère et plein d’amour.</v>
      </c>
      <c r="G33" s="31" t="s">
        <v>447</v>
      </c>
      <c r="H33" s="17" t="str">
        <f>G33</f>
        <v>2 Corinthiens 5, 20 – 6, 2 — St Paul exhorte les Corinthiens à se laisser réconcilier avec Dieu, rappelant que c’est maintenant le moment favorable pour accueillir sa grâce.</v>
      </c>
      <c r="I33" s="17" t="str">
        <f>H33</f>
        <v>2 Corinthiens 5, 20 – 6, 2 — St Paul exhorte les Corinthiens à se laisser réconcilier avec Dieu, rappelant que c’est maintenant le moment favorable pour accueillir sa grâce.</v>
      </c>
    </row>
    <row r="34" spans="1:27" ht="57.6" x14ac:dyDescent="0.3">
      <c r="A34" s="13" t="s">
        <v>23</v>
      </c>
      <c r="B34" s="29">
        <f t="shared" ref="B34:B97" si="7">C34</f>
        <v>45725</v>
      </c>
      <c r="C34" s="20">
        <f>Feuil2!H34</f>
        <v>45725</v>
      </c>
      <c r="D34" s="13" t="s">
        <v>334</v>
      </c>
      <c r="E34" s="13" t="s">
        <v>335</v>
      </c>
      <c r="F34" s="15" t="s">
        <v>137</v>
      </c>
      <c r="G34" s="14" t="s">
        <v>310</v>
      </c>
      <c r="H34" s="13" t="s">
        <v>138</v>
      </c>
      <c r="I34" s="13" t="s">
        <v>139</v>
      </c>
    </row>
    <row r="35" spans="1:27" ht="57.6" x14ac:dyDescent="0.3">
      <c r="A35" s="13" t="s">
        <v>24</v>
      </c>
      <c r="B35" s="29">
        <f t="shared" si="7"/>
        <v>45732</v>
      </c>
      <c r="C35" s="20">
        <f>Feuil2!H35</f>
        <v>45732</v>
      </c>
      <c r="D35" s="13" t="s">
        <v>140</v>
      </c>
      <c r="E35" s="13" t="s">
        <v>141</v>
      </c>
      <c r="F35" s="15" t="s">
        <v>336</v>
      </c>
      <c r="G35" s="14" t="s">
        <v>311</v>
      </c>
      <c r="H35" s="13" t="s">
        <v>142</v>
      </c>
      <c r="I35" s="13" t="s">
        <v>337</v>
      </c>
    </row>
    <row r="36" spans="1:27" ht="72" x14ac:dyDescent="0.3">
      <c r="A36" s="13" t="s">
        <v>25</v>
      </c>
      <c r="B36" s="29">
        <f t="shared" si="7"/>
        <v>45739</v>
      </c>
      <c r="C36" s="20">
        <f>Feuil2!H36</f>
        <v>45739</v>
      </c>
      <c r="D36" s="13" t="s">
        <v>313</v>
      </c>
      <c r="E36" s="13" t="s">
        <v>143</v>
      </c>
      <c r="F36" s="15" t="s">
        <v>144</v>
      </c>
      <c r="G36" s="14" t="s">
        <v>317</v>
      </c>
      <c r="H36" s="13" t="s">
        <v>145</v>
      </c>
      <c r="I36" s="13" t="s">
        <v>338</v>
      </c>
    </row>
    <row r="37" spans="1:27" ht="72" x14ac:dyDescent="0.3">
      <c r="A37" s="13" t="s">
        <v>26</v>
      </c>
      <c r="B37" s="29">
        <f t="shared" si="7"/>
        <v>45746</v>
      </c>
      <c r="C37" s="20">
        <f>Feuil2!H37</f>
        <v>45746</v>
      </c>
      <c r="D37" s="13" t="s">
        <v>339</v>
      </c>
      <c r="E37" s="13" t="s">
        <v>146</v>
      </c>
      <c r="F37" s="15" t="s">
        <v>147</v>
      </c>
      <c r="G37" s="14" t="s">
        <v>148</v>
      </c>
      <c r="H37" s="13" t="s">
        <v>149</v>
      </c>
      <c r="I37" s="13" t="s">
        <v>150</v>
      </c>
    </row>
    <row r="38" spans="1:27" ht="86.4" x14ac:dyDescent="0.3">
      <c r="A38" s="13" t="s">
        <v>27</v>
      </c>
      <c r="B38" s="29">
        <f t="shared" si="7"/>
        <v>45753</v>
      </c>
      <c r="C38" s="20">
        <f>Feuil2!H38</f>
        <v>45753</v>
      </c>
      <c r="D38" s="13" t="s">
        <v>340</v>
      </c>
      <c r="E38" s="13" t="s">
        <v>151</v>
      </c>
      <c r="F38" s="15" t="s">
        <v>488</v>
      </c>
      <c r="G38" s="14" t="s">
        <v>152</v>
      </c>
      <c r="H38" s="13" t="s">
        <v>153</v>
      </c>
      <c r="I38" s="13" t="s">
        <v>487</v>
      </c>
    </row>
    <row r="39" spans="1:27" x14ac:dyDescent="0.3">
      <c r="B39" s="29" t="str">
        <f t="shared" si="7"/>
        <v/>
      </c>
      <c r="C39" s="20" t="str">
        <f>Feuil2!H39</f>
        <v/>
      </c>
    </row>
    <row r="40" spans="1:27" x14ac:dyDescent="0.3">
      <c r="A40" s="27" t="s">
        <v>78</v>
      </c>
      <c r="B40" s="29" t="str">
        <f t="shared" si="7"/>
        <v/>
      </c>
      <c r="C40" s="20" t="str">
        <f>Feuil2!H40</f>
        <v/>
      </c>
    </row>
    <row r="41" spans="1:27" ht="57.6" x14ac:dyDescent="0.3">
      <c r="A41" s="13" t="s">
        <v>28</v>
      </c>
      <c r="B41" s="29">
        <f t="shared" si="7"/>
        <v>45760</v>
      </c>
      <c r="C41" s="20">
        <f>Feuil2!H41</f>
        <v>45760</v>
      </c>
      <c r="D41" s="17" t="s">
        <v>298</v>
      </c>
      <c r="E41" s="17" t="str">
        <f>D41</f>
        <v>Isaïe 50, 4-7 — Le serviteur du Seigneur accepte les souffrances avec confiance, certain que Dieu le soutient.</v>
      </c>
      <c r="F41" s="30" t="str">
        <f>D41</f>
        <v>Isaïe 50, 4-7 — Le serviteur du Seigneur accepte les souffrances avec confiance, certain que Dieu le soutient.</v>
      </c>
      <c r="G41" s="31" t="s">
        <v>341</v>
      </c>
      <c r="H41" s="17" t="str">
        <f>G41</f>
        <v>Philippiens 2, 6-11 — St Paul proclame le mystère du Christ : abaissé jusqu’à la croix, exalté par le Père comme Seigneur de tous.</v>
      </c>
      <c r="I41" s="17" t="str">
        <f>G41</f>
        <v>Philippiens 2, 6-11 — St Paul proclame le mystère du Christ : abaissé jusqu’à la croix, exalté par le Père comme Seigneur de tous.</v>
      </c>
    </row>
    <row r="42" spans="1:27" ht="72" x14ac:dyDescent="0.3">
      <c r="A42" s="13" t="s">
        <v>304</v>
      </c>
      <c r="B42" s="29">
        <f t="shared" si="7"/>
        <v>45764</v>
      </c>
      <c r="C42" s="20">
        <f>Feuil2!H42</f>
        <v>45764</v>
      </c>
      <c r="D42" s="17" t="s">
        <v>490</v>
      </c>
      <c r="E42" s="17" t="str">
        <f t="shared" ref="E42:E43" si="8">D42</f>
        <v>Exode 12, 1-8.11-14 — Dieu institue la Pâque et ordonne un repas rituel pour que son peuple se souvienne toujours de sa libération d’Égypte.</v>
      </c>
      <c r="F42" s="30" t="str">
        <f t="shared" ref="F42:F43" si="9">D42</f>
        <v>Exode 12, 1-8.11-14 — Dieu institue la Pâque et ordonne un repas rituel pour que son peuple se souvienne toujours de sa libération d’Égypte.</v>
      </c>
      <c r="G42" s="31" t="s">
        <v>491</v>
      </c>
      <c r="H42" s="17" t="str">
        <f t="shared" ref="H42:H43" si="10">G42</f>
        <v>1 Corinthiens 11, 23-26 — St Paul, dans sa lettre aux Corinthiens, nous rappelle que l’Eucharistie fait mémoire de la mort du Christ, annoncée jusqu’à son retour.</v>
      </c>
      <c r="I42" s="17" t="str">
        <f t="shared" ref="I42:I43" si="11">G42</f>
        <v>1 Corinthiens 11, 23-26 — St Paul, dans sa lettre aux Corinthiens, nous rappelle que l’Eucharistie fait mémoire de la mort du Christ, annoncée jusqu’à son retour.</v>
      </c>
    </row>
    <row r="43" spans="1:27" ht="72" x14ac:dyDescent="0.3">
      <c r="A43" s="13" t="s">
        <v>305</v>
      </c>
      <c r="B43" s="29">
        <f t="shared" si="7"/>
        <v>45765</v>
      </c>
      <c r="C43" s="20">
        <f>Feuil2!H43</f>
        <v>45765</v>
      </c>
      <c r="D43" s="17" t="s">
        <v>493</v>
      </c>
      <c r="E43" s="17" t="str">
        <f t="shared" si="8"/>
        <v>Isaïe 52, 13 – 53, 12 — Isaïe décrit le Serviteur souffrant qui, par ses douleurs et son sacrifice, porte nos fautes et réalise notre salut.</v>
      </c>
      <c r="F43" s="30" t="str">
        <f t="shared" si="9"/>
        <v>Isaïe 52, 13 – 53, 12 — Isaïe décrit le Serviteur souffrant qui, par ses douleurs et son sacrifice, porte nos fautes et réalise notre salut.</v>
      </c>
      <c r="G43" s="31" t="s">
        <v>492</v>
      </c>
      <c r="H43" s="17" t="str">
        <f t="shared" si="10"/>
        <v>Hébreux 4, 14-16 ; 5, 7-9 — Le Christ, en apprenant l'obéissance à travers la souffrance, devient la source du salut éternel pour tous ceux qui lui obéissent.</v>
      </c>
      <c r="I43" s="17" t="str">
        <f t="shared" si="11"/>
        <v>Hébreux 4, 14-16 ; 5, 7-9 — Le Christ, en apprenant l'obéissance à travers la souffrance, devient la source du salut éternel pour tous ceux qui lui obéissent.</v>
      </c>
    </row>
    <row r="44" spans="1:27" ht="80.400000000000006" customHeight="1" x14ac:dyDescent="0.3">
      <c r="A44" s="13" t="s">
        <v>306</v>
      </c>
      <c r="B44" s="29">
        <f t="shared" si="7"/>
        <v>45766</v>
      </c>
      <c r="C44" s="20">
        <f>Feuil2!H44</f>
        <v>45766</v>
      </c>
      <c r="D44" s="17" t="s">
        <v>494</v>
      </c>
      <c r="E44" s="17" t="str">
        <f>D44</f>
        <v>Genèse 1, 1 – 2, 2 —  Dieu crée le monde et donne la vie, nous rappelant que toute lumière et toute beauté viennent de lui.</v>
      </c>
      <c r="F44" s="30" t="str">
        <f>D44</f>
        <v>Genèse 1, 1 – 2, 2 —  Dieu crée le monde et donne la vie, nous rappelant que toute lumière et toute beauté viennent de lui.</v>
      </c>
      <c r="G44" s="17" t="s">
        <v>495</v>
      </c>
      <c r="H44" s="30" t="str">
        <f>G44</f>
        <v>Genèse 22, 1-18 — Dieu met Abraham à l’épreuve, puis confirme sa promesse en bénissant sa foi et la descendance d’Isaac.</v>
      </c>
      <c r="I44" s="30" t="str">
        <f>G44</f>
        <v>Genèse 22, 1-18 — Dieu met Abraham à l’épreuve, puis confirme sa promesse en bénissant sa foi et la descendance d’Isaac.</v>
      </c>
      <c r="J44" s="33" t="s">
        <v>496</v>
      </c>
      <c r="K44" s="33" t="str">
        <f>J44</f>
        <v xml:space="preserve">Exode 14, 15 – 15, 1a — Dieu fait passer son peuple à travers la mer, montrant sa puissance et sa fidélité qui libèrent.
</v>
      </c>
      <c r="L44" s="33" t="str">
        <f>J44</f>
        <v xml:space="preserve">Exode 14, 15 – 15, 1a — Dieu fait passer son peuple à travers la mer, montrant sa puissance et sa fidélité qui libèrent.
</v>
      </c>
      <c r="M44" s="33" t="s">
        <v>497</v>
      </c>
      <c r="N44" s="33" t="str">
        <f>M44</f>
        <v>Isaïe 54, 5-14 —  Comme un époux fidèle, le Seigneur relève son peuple et lui promet une paix durable.</v>
      </c>
      <c r="O44" s="33" t="str">
        <f>M44</f>
        <v>Isaïe 54, 5-14 —  Comme un époux fidèle, le Seigneur relève son peuple et lui promet une paix durable.</v>
      </c>
      <c r="P44" s="33" t="s">
        <v>498</v>
      </c>
      <c r="Q44" s="33" t="str">
        <f>P44</f>
        <v>Isaïe 55, 1-11 —  Dieu invite chacun à venir à lui pour recevoir gratuitement la vie et entrer dans son alliance.</v>
      </c>
      <c r="R44" s="33" t="str">
        <f>P44</f>
        <v>Isaïe 55, 1-11 —  Dieu invite chacun à venir à lui pour recevoir gratuitement la vie et entrer dans son alliance.</v>
      </c>
      <c r="S44" s="33" t="s">
        <v>499</v>
      </c>
      <c r="T44" s="33" t="str">
        <f>S44</f>
        <v>Baruch 3, 9-15.32 – 4, 4 — Baruch appelle le peuple à accueillir la sagesse, lumière de Dieu pour marcher vers la vraie vie.</v>
      </c>
      <c r="U44" s="33" t="str">
        <f>S44</f>
        <v>Baruch 3, 9-15.32 – 4, 4 — Baruch appelle le peuple à accueillir la sagesse, lumière de Dieu pour marcher vers la vraie vie.</v>
      </c>
      <c r="V44" s="33" t="s">
        <v>500</v>
      </c>
      <c r="W44" s="33" t="str">
        <f>V44</f>
        <v>Ézéchiel 36, 16-17a.18-28 — Dieu purifie son peuple et promet un cœur nouveau pour vivre selon ses chemins.</v>
      </c>
      <c r="X44" s="33" t="str">
        <f>V44</f>
        <v>Ézéchiel 36, 16-17a.18-28 — Dieu purifie son peuple et promet un cœur nouveau pour vivre selon ses chemins.</v>
      </c>
      <c r="Y44" s="33" t="s">
        <v>501</v>
      </c>
      <c r="Z44" s="33" t="str">
        <f>Y44</f>
        <v>Romains 6, 3-11 —  St Paul, dans sa lettre aux Romains, nous enseigne que le Christ ressuscité ouvre pour nous une vie nouvelle avec lui.</v>
      </c>
      <c r="AA44" s="33" t="str">
        <f>Y44</f>
        <v>Romains 6, 3-11 —  St Paul, dans sa lettre aux Romains, nous enseigne que le Christ ressuscité ouvre pour nous une vie nouvelle avec lui.</v>
      </c>
    </row>
    <row r="45" spans="1:27" ht="158.4" x14ac:dyDescent="0.3">
      <c r="A45" s="13" t="s">
        <v>29</v>
      </c>
      <c r="B45" s="29">
        <f t="shared" si="7"/>
        <v>45767</v>
      </c>
      <c r="C45" s="20">
        <f>Feuil2!H45</f>
        <v>45767</v>
      </c>
      <c r="D45" s="17" t="s">
        <v>502</v>
      </c>
      <c r="E45" s="17" t="str">
        <f>D45</f>
        <v>Actes 10, 34a.37-43 — St Pierre proclame que Jésus, mort et ressuscité, est le juge des vivants et des morts, offrant le pardon à ceux qui croient.</v>
      </c>
      <c r="F45" s="30" t="str">
        <f>D45</f>
        <v>Actes 10, 34a.37-43 — St Pierre proclame que Jésus, mort et ressuscité, est le juge des vivants et des morts, offrant le pardon à ceux qui croient.</v>
      </c>
      <c r="G45" s="31" t="s">
        <v>503</v>
      </c>
      <c r="H45" s="17" t="str">
        <f>G45</f>
        <v>Colossiens 3, 1-4 — St Paul, dans sa lettre aux Colossiens, nous invite à tourner notre cœur vers les réalités d’en haut, là où le Christ est vivant en Dieu.
1 Corinthiens 5, 6b-8 — St Paul, dans sa lettre aux Corinthiens, nous exhorte à vivre en pâte nouvelle, dans la vérité, purifiés par le Christ.</v>
      </c>
      <c r="I45" s="17" t="str">
        <f>H45</f>
        <v>Colossiens 3, 1-4 — St Paul, dans sa lettre aux Colossiens, nous invite à tourner notre cœur vers les réalités d’en haut, là où le Christ est vivant en Dieu.
1 Corinthiens 5, 6b-8 — St Paul, dans sa lettre aux Corinthiens, nous exhorte à vivre en pâte nouvelle, dans la vérité, purifiés par le Christ.</v>
      </c>
    </row>
    <row r="46" spans="1:27" ht="72" x14ac:dyDescent="0.3">
      <c r="A46" s="13" t="s">
        <v>75</v>
      </c>
      <c r="B46" s="29">
        <f t="shared" si="7"/>
        <v>45768</v>
      </c>
      <c r="C46" s="20">
        <f>Feuil2!H46</f>
        <v>45768</v>
      </c>
      <c r="D46" s="17" t="s">
        <v>342</v>
      </c>
      <c r="E46" s="17" t="str">
        <f>D46</f>
        <v>Actes 2, 14.22-33 — Pierre proclame Jésus ressuscité, accomplissant les Écritures et attestant qu’il est le Messie attendu.</v>
      </c>
      <c r="F46" s="30" t="str">
        <f>D46</f>
        <v>Actes 2, 14.22-33 — Pierre proclame Jésus ressuscité, accomplissant les Écritures et attestant qu’il est le Messie attendu.</v>
      </c>
      <c r="G46" s="19"/>
      <c r="H46" s="18"/>
      <c r="I46" s="18"/>
    </row>
    <row r="47" spans="1:27" x14ac:dyDescent="0.3">
      <c r="B47" s="29" t="str">
        <f t="shared" si="7"/>
        <v/>
      </c>
      <c r="C47" s="20" t="str">
        <f>Feuil2!H47</f>
        <v/>
      </c>
    </row>
    <row r="48" spans="1:27" x14ac:dyDescent="0.3">
      <c r="A48" s="27" t="s">
        <v>30</v>
      </c>
      <c r="B48" s="29" t="str">
        <f t="shared" si="7"/>
        <v/>
      </c>
      <c r="C48" s="20" t="str">
        <f>Feuil2!H48</f>
        <v/>
      </c>
    </row>
    <row r="49" spans="1:9" ht="86.4" x14ac:dyDescent="0.3">
      <c r="A49" s="13" t="s">
        <v>31</v>
      </c>
      <c r="B49" s="29">
        <f t="shared" si="7"/>
        <v>45774</v>
      </c>
      <c r="C49" s="20">
        <f>Feuil2!H49</f>
        <v>45774</v>
      </c>
      <c r="D49" s="13" t="s">
        <v>154</v>
      </c>
      <c r="E49" s="13" t="s">
        <v>155</v>
      </c>
      <c r="F49" s="15" t="s">
        <v>504</v>
      </c>
      <c r="G49" s="14" t="s">
        <v>156</v>
      </c>
      <c r="H49" s="13" t="s">
        <v>157</v>
      </c>
      <c r="I49" s="13" t="s">
        <v>343</v>
      </c>
    </row>
    <row r="50" spans="1:9" ht="86.4" x14ac:dyDescent="0.3">
      <c r="A50" s="13" t="s">
        <v>32</v>
      </c>
      <c r="B50" s="29">
        <f t="shared" si="7"/>
        <v>45781</v>
      </c>
      <c r="C50" s="20">
        <f>Feuil2!H50</f>
        <v>45781</v>
      </c>
      <c r="D50" s="13" t="s">
        <v>344</v>
      </c>
      <c r="E50" s="13" t="s">
        <v>158</v>
      </c>
      <c r="F50" s="15" t="s">
        <v>159</v>
      </c>
      <c r="G50" s="14" t="s">
        <v>160</v>
      </c>
      <c r="H50" s="13" t="s">
        <v>161</v>
      </c>
      <c r="I50" s="13" t="s">
        <v>300</v>
      </c>
    </row>
    <row r="51" spans="1:9" ht="72" x14ac:dyDescent="0.3">
      <c r="A51" s="13" t="s">
        <v>33</v>
      </c>
      <c r="B51" s="29">
        <f t="shared" si="7"/>
        <v>45788</v>
      </c>
      <c r="C51" s="20">
        <f>Feuil2!H51</f>
        <v>45788</v>
      </c>
      <c r="D51" s="13" t="s">
        <v>162</v>
      </c>
      <c r="E51" s="13" t="s">
        <v>163</v>
      </c>
      <c r="F51" s="15" t="s">
        <v>505</v>
      </c>
      <c r="G51" s="14" t="s">
        <v>164</v>
      </c>
      <c r="H51" s="13" t="s">
        <v>299</v>
      </c>
      <c r="I51" s="13" t="s">
        <v>165</v>
      </c>
    </row>
    <row r="52" spans="1:9" ht="72" x14ac:dyDescent="0.3">
      <c r="A52" s="13" t="s">
        <v>34</v>
      </c>
      <c r="B52" s="29">
        <f t="shared" si="7"/>
        <v>45795</v>
      </c>
      <c r="C52" s="20">
        <f>Feuil2!H52</f>
        <v>45795</v>
      </c>
      <c r="D52" s="13" t="s">
        <v>166</v>
      </c>
      <c r="E52" s="13" t="s">
        <v>167</v>
      </c>
      <c r="F52" s="15" t="s">
        <v>506</v>
      </c>
      <c r="G52" s="14" t="s">
        <v>168</v>
      </c>
      <c r="H52" s="13" t="s">
        <v>169</v>
      </c>
      <c r="I52" s="13" t="s">
        <v>345</v>
      </c>
    </row>
    <row r="53" spans="1:9" ht="86.4" x14ac:dyDescent="0.3">
      <c r="A53" s="13" t="s">
        <v>35</v>
      </c>
      <c r="B53" s="29">
        <f t="shared" si="7"/>
        <v>45802</v>
      </c>
      <c r="C53" s="20">
        <f>Feuil2!H53</f>
        <v>45802</v>
      </c>
      <c r="D53" s="13" t="s">
        <v>312</v>
      </c>
      <c r="E53" s="13" t="s">
        <v>346</v>
      </c>
      <c r="F53" s="15" t="s">
        <v>170</v>
      </c>
      <c r="G53" s="14" t="s">
        <v>171</v>
      </c>
      <c r="H53" s="13" t="s">
        <v>172</v>
      </c>
      <c r="I53" s="13" t="s">
        <v>173</v>
      </c>
    </row>
    <row r="54" spans="1:9" ht="72" x14ac:dyDescent="0.3">
      <c r="A54" s="13" t="s">
        <v>36</v>
      </c>
      <c r="B54" s="29">
        <f t="shared" si="7"/>
        <v>45806</v>
      </c>
      <c r="C54" s="20">
        <f>Feuil2!H54</f>
        <v>45806</v>
      </c>
      <c r="D54" s="17" t="s">
        <v>507</v>
      </c>
      <c r="E54" s="17" t="str">
        <f>D54</f>
        <v>Actes 1, 1-11 — Luc décrit l’Ascension de Jésus, qui promet l’Esprit Saint et envoie les disciples en mission jusqu’aux extrémités du monde.</v>
      </c>
      <c r="F54" s="32" t="str">
        <f>D54</f>
        <v>Actes 1, 1-11 — Luc décrit l’Ascension de Jésus, qui promet l’Esprit Saint et envoie les disciples en mission jusqu’aux extrémités du monde.</v>
      </c>
      <c r="G54" s="14" t="s">
        <v>174</v>
      </c>
      <c r="H54" s="13" t="s">
        <v>347</v>
      </c>
      <c r="I54" s="24" t="s">
        <v>175</v>
      </c>
    </row>
    <row r="55" spans="1:9" ht="72" x14ac:dyDescent="0.3">
      <c r="A55" s="13" t="s">
        <v>37</v>
      </c>
      <c r="B55" s="29">
        <f t="shared" si="7"/>
        <v>45809</v>
      </c>
      <c r="C55" s="20">
        <f>Feuil2!H55</f>
        <v>45809</v>
      </c>
      <c r="D55" s="13" t="s">
        <v>176</v>
      </c>
      <c r="E55" s="13" t="s">
        <v>177</v>
      </c>
      <c r="F55" s="15" t="s">
        <v>178</v>
      </c>
      <c r="G55" s="14" t="s">
        <v>179</v>
      </c>
      <c r="H55" s="13" t="s">
        <v>180</v>
      </c>
      <c r="I55" s="23" t="s">
        <v>181</v>
      </c>
    </row>
    <row r="56" spans="1:9" ht="86.4" x14ac:dyDescent="0.3">
      <c r="A56" s="13" t="s">
        <v>38</v>
      </c>
      <c r="B56" s="29">
        <f t="shared" si="7"/>
        <v>45816</v>
      </c>
      <c r="C56" s="20">
        <f>Feuil2!H56</f>
        <v>45816</v>
      </c>
      <c r="D56" s="17" t="s">
        <v>182</v>
      </c>
      <c r="E56" s="17" t="str">
        <f>D56</f>
        <v>Actes 2, 1-11 — Le jour de la Pentecôte, l’Esprit Saint descend sur les apôtres, et chacun entend la Bonne Nouvelle dans sa langue.</v>
      </c>
      <c r="F56" s="30" t="str">
        <f>D56</f>
        <v>Actes 2, 1-11 — Le jour de la Pentecôte, l’Esprit Saint descend sur les apôtres, et chacun entend la Bonne Nouvelle dans sa langue.</v>
      </c>
      <c r="G56" s="14" t="s">
        <v>183</v>
      </c>
      <c r="H56" s="13" t="s">
        <v>489</v>
      </c>
      <c r="I56" s="24" t="s">
        <v>184</v>
      </c>
    </row>
    <row r="57" spans="1:9" ht="72" x14ac:dyDescent="0.3">
      <c r="A57" s="13" t="s">
        <v>81</v>
      </c>
      <c r="B57" s="29">
        <f t="shared" si="7"/>
        <v>45823</v>
      </c>
      <c r="C57" s="20">
        <f>Feuil2!H57</f>
        <v>45823</v>
      </c>
      <c r="D57" s="13" t="s">
        <v>185</v>
      </c>
      <c r="E57" s="13" t="s">
        <v>186</v>
      </c>
      <c r="F57" s="15" t="s">
        <v>187</v>
      </c>
      <c r="G57" s="14" t="s">
        <v>188</v>
      </c>
      <c r="H57" s="13" t="s">
        <v>189</v>
      </c>
      <c r="I57" s="13" t="s">
        <v>190</v>
      </c>
    </row>
    <row r="58" spans="1:9" ht="72" x14ac:dyDescent="0.3">
      <c r="A58" s="13" t="s">
        <v>82</v>
      </c>
      <c r="B58" s="29">
        <f t="shared" si="7"/>
        <v>45830</v>
      </c>
      <c r="C58" s="20">
        <f>Feuil2!H58</f>
        <v>45830</v>
      </c>
      <c r="D58" s="13" t="s">
        <v>191</v>
      </c>
      <c r="E58" s="13" t="s">
        <v>192</v>
      </c>
      <c r="F58" s="15" t="s">
        <v>193</v>
      </c>
      <c r="G58" s="14" t="s">
        <v>194</v>
      </c>
      <c r="H58" s="13" t="s">
        <v>195</v>
      </c>
      <c r="I58" s="13" t="s">
        <v>196</v>
      </c>
    </row>
    <row r="59" spans="1:9" ht="72" x14ac:dyDescent="0.3">
      <c r="A59" s="13" t="s">
        <v>39</v>
      </c>
      <c r="B59" s="29">
        <f t="shared" si="7"/>
        <v>45835</v>
      </c>
      <c r="C59" s="20">
        <f>Feuil2!H59</f>
        <v>45835</v>
      </c>
      <c r="D59" s="13" t="s">
        <v>197</v>
      </c>
      <c r="E59" s="13" t="s">
        <v>198</v>
      </c>
      <c r="F59" s="15" t="s">
        <v>199</v>
      </c>
      <c r="G59" s="14" t="s">
        <v>200</v>
      </c>
      <c r="H59" s="13" t="s">
        <v>201</v>
      </c>
      <c r="I59" s="13" t="s">
        <v>202</v>
      </c>
    </row>
    <row r="60" spans="1:9" x14ac:dyDescent="0.3">
      <c r="B60" s="29" t="str">
        <f t="shared" si="7"/>
        <v/>
      </c>
      <c r="C60" s="20" t="str">
        <f>Feuil2!H60</f>
        <v/>
      </c>
    </row>
    <row r="61" spans="1:9" ht="28.8" x14ac:dyDescent="0.3">
      <c r="A61" s="27" t="s">
        <v>40</v>
      </c>
      <c r="B61" s="29" t="str">
        <f t="shared" si="7"/>
        <v/>
      </c>
      <c r="C61" s="20" t="str">
        <f>Feuil2!H61</f>
        <v/>
      </c>
    </row>
    <row r="62" spans="1:9" ht="72" x14ac:dyDescent="0.3">
      <c r="A62" s="13" t="s">
        <v>41</v>
      </c>
      <c r="B62" s="29" t="str">
        <f t="shared" si="7"/>
        <v/>
      </c>
      <c r="C62" s="20" t="str">
        <f>Feuil2!H62</f>
        <v/>
      </c>
      <c r="D62" s="13" t="s">
        <v>348</v>
      </c>
      <c r="E62" s="13" t="s">
        <v>203</v>
      </c>
      <c r="F62" s="15" t="s">
        <v>204</v>
      </c>
      <c r="G62" s="14" t="s">
        <v>205</v>
      </c>
      <c r="H62" s="13" t="s">
        <v>206</v>
      </c>
      <c r="I62" s="13" t="s">
        <v>465</v>
      </c>
    </row>
    <row r="63" spans="1:9" ht="72" x14ac:dyDescent="0.3">
      <c r="A63" s="13" t="s">
        <v>50</v>
      </c>
      <c r="B63" s="29" t="str">
        <f t="shared" si="7"/>
        <v/>
      </c>
      <c r="C63" s="20" t="str">
        <f>Feuil2!H63</f>
        <v/>
      </c>
      <c r="D63" s="13" t="s">
        <v>207</v>
      </c>
      <c r="E63" s="13" t="s">
        <v>208</v>
      </c>
      <c r="F63" s="15" t="s">
        <v>209</v>
      </c>
      <c r="G63" s="14" t="s">
        <v>210</v>
      </c>
      <c r="H63" s="13" t="s">
        <v>463</v>
      </c>
      <c r="I63" s="13" t="s">
        <v>464</v>
      </c>
    </row>
    <row r="64" spans="1:9" ht="72" x14ac:dyDescent="0.3">
      <c r="A64" s="13" t="s">
        <v>52</v>
      </c>
      <c r="B64" s="29" t="str">
        <f t="shared" si="7"/>
        <v/>
      </c>
      <c r="C64" s="20" t="str">
        <f>Feuil2!H64</f>
        <v/>
      </c>
      <c r="D64" s="13" t="s">
        <v>349</v>
      </c>
      <c r="E64" s="13" t="s">
        <v>211</v>
      </c>
      <c r="F64" s="15" t="s">
        <v>212</v>
      </c>
      <c r="G64" s="14" t="s">
        <v>213</v>
      </c>
      <c r="H64" s="13" t="s">
        <v>214</v>
      </c>
      <c r="I64" s="13" t="s">
        <v>466</v>
      </c>
    </row>
    <row r="65" spans="1:9" ht="57.6" x14ac:dyDescent="0.3">
      <c r="A65" s="13" t="s">
        <v>51</v>
      </c>
      <c r="B65" s="29" t="str">
        <f t="shared" si="7"/>
        <v/>
      </c>
      <c r="C65" s="20" t="str">
        <f>Feuil2!H65</f>
        <v/>
      </c>
      <c r="D65" s="13" t="s">
        <v>215</v>
      </c>
      <c r="E65" s="13" t="s">
        <v>216</v>
      </c>
      <c r="F65" s="15" t="s">
        <v>350</v>
      </c>
      <c r="G65" s="14" t="s">
        <v>217</v>
      </c>
      <c r="H65" s="13" t="s">
        <v>218</v>
      </c>
      <c r="I65" s="13" t="s">
        <v>219</v>
      </c>
    </row>
    <row r="66" spans="1:9" ht="72" x14ac:dyDescent="0.3">
      <c r="A66" s="13" t="s">
        <v>53</v>
      </c>
      <c r="B66" s="29">
        <f t="shared" si="7"/>
        <v>45844</v>
      </c>
      <c r="C66" s="20">
        <f>Feuil2!H66</f>
        <v>45844</v>
      </c>
      <c r="D66" s="13" t="s">
        <v>351</v>
      </c>
      <c r="E66" s="13" t="s">
        <v>352</v>
      </c>
      <c r="F66" s="15" t="s">
        <v>220</v>
      </c>
      <c r="G66" s="14" t="s">
        <v>221</v>
      </c>
      <c r="H66" s="13" t="s">
        <v>222</v>
      </c>
      <c r="I66" s="13" t="s">
        <v>223</v>
      </c>
    </row>
    <row r="67" spans="1:9" ht="86.4" x14ac:dyDescent="0.3">
      <c r="A67" s="13" t="s">
        <v>54</v>
      </c>
      <c r="B67" s="29">
        <f t="shared" si="7"/>
        <v>45851</v>
      </c>
      <c r="C67" s="20">
        <f>Feuil2!H67</f>
        <v>45851</v>
      </c>
      <c r="D67" s="13" t="s">
        <v>224</v>
      </c>
      <c r="E67" s="13" t="s">
        <v>353</v>
      </c>
      <c r="F67" s="15" t="s">
        <v>354</v>
      </c>
      <c r="G67" s="14" t="s">
        <v>467</v>
      </c>
      <c r="H67" s="13" t="s">
        <v>225</v>
      </c>
      <c r="I67" s="13" t="s">
        <v>226</v>
      </c>
    </row>
    <row r="68" spans="1:9" ht="86.4" x14ac:dyDescent="0.3">
      <c r="A68" s="13" t="s">
        <v>55</v>
      </c>
      <c r="B68" s="29">
        <f t="shared" si="7"/>
        <v>45858</v>
      </c>
      <c r="C68" s="20">
        <f>Feuil2!H68</f>
        <v>45858</v>
      </c>
      <c r="D68" s="13" t="s">
        <v>355</v>
      </c>
      <c r="E68" s="13" t="s">
        <v>227</v>
      </c>
      <c r="F68" s="15" t="s">
        <v>356</v>
      </c>
      <c r="G68" s="14" t="s">
        <v>468</v>
      </c>
      <c r="H68" s="13" t="s">
        <v>228</v>
      </c>
      <c r="I68" s="13" t="s">
        <v>229</v>
      </c>
    </row>
    <row r="69" spans="1:9" ht="72" x14ac:dyDescent="0.3">
      <c r="A69" s="13" t="s">
        <v>56</v>
      </c>
      <c r="B69" s="29">
        <f t="shared" si="7"/>
        <v>45865</v>
      </c>
      <c r="C69" s="20">
        <f>Feuil2!H69</f>
        <v>45865</v>
      </c>
      <c r="D69" s="13" t="s">
        <v>357</v>
      </c>
      <c r="E69" s="13" t="s">
        <v>230</v>
      </c>
      <c r="F69" s="15" t="s">
        <v>358</v>
      </c>
      <c r="G69" s="14" t="s">
        <v>315</v>
      </c>
      <c r="H69" s="13" t="s">
        <v>231</v>
      </c>
      <c r="I69" s="13" t="s">
        <v>232</v>
      </c>
    </row>
    <row r="70" spans="1:9" ht="72" x14ac:dyDescent="0.3">
      <c r="A70" s="13" t="s">
        <v>57</v>
      </c>
      <c r="B70" s="29">
        <f t="shared" si="7"/>
        <v>45872</v>
      </c>
      <c r="C70" s="20">
        <f>Feuil2!H70</f>
        <v>45872</v>
      </c>
      <c r="D70" s="13" t="s">
        <v>233</v>
      </c>
      <c r="E70" s="13" t="s">
        <v>359</v>
      </c>
      <c r="F70" s="15" t="s">
        <v>360</v>
      </c>
      <c r="G70" s="14" t="s">
        <v>234</v>
      </c>
      <c r="H70" s="13" t="s">
        <v>235</v>
      </c>
      <c r="I70" s="13" t="s">
        <v>236</v>
      </c>
    </row>
    <row r="71" spans="1:9" ht="72" x14ac:dyDescent="0.3">
      <c r="A71" s="13" t="s">
        <v>58</v>
      </c>
      <c r="B71" s="29">
        <f t="shared" si="7"/>
        <v>45879</v>
      </c>
      <c r="C71" s="20">
        <f>Feuil2!H71</f>
        <v>45879</v>
      </c>
      <c r="D71" s="13" t="s">
        <v>361</v>
      </c>
      <c r="E71" s="13" t="s">
        <v>362</v>
      </c>
      <c r="F71" s="15" t="s">
        <v>363</v>
      </c>
      <c r="G71" s="14" t="s">
        <v>237</v>
      </c>
      <c r="H71" s="13" t="s">
        <v>238</v>
      </c>
      <c r="I71" s="13" t="s">
        <v>239</v>
      </c>
    </row>
    <row r="72" spans="1:9" ht="72" x14ac:dyDescent="0.3">
      <c r="A72" s="13" t="s">
        <v>59</v>
      </c>
      <c r="B72" s="29">
        <f t="shared" si="7"/>
        <v>45886</v>
      </c>
      <c r="C72" s="20">
        <f>Feuil2!H72</f>
        <v>45886</v>
      </c>
      <c r="D72" s="13" t="s">
        <v>364</v>
      </c>
      <c r="E72" s="13" t="s">
        <v>365</v>
      </c>
      <c r="F72" s="15" t="s">
        <v>366</v>
      </c>
      <c r="G72" s="14" t="s">
        <v>240</v>
      </c>
      <c r="H72" s="13" t="s">
        <v>241</v>
      </c>
      <c r="I72" s="13" t="s">
        <v>242</v>
      </c>
    </row>
    <row r="73" spans="1:9" ht="72" x14ac:dyDescent="0.3">
      <c r="A73" s="13" t="s">
        <v>60</v>
      </c>
      <c r="B73" s="29">
        <f t="shared" si="7"/>
        <v>45893</v>
      </c>
      <c r="C73" s="20">
        <f>Feuil2!H73</f>
        <v>45893</v>
      </c>
      <c r="D73" s="13" t="s">
        <v>367</v>
      </c>
      <c r="E73" s="13" t="s">
        <v>368</v>
      </c>
      <c r="F73" s="15" t="s">
        <v>369</v>
      </c>
      <c r="G73" s="14" t="s">
        <v>243</v>
      </c>
      <c r="H73" s="13" t="s">
        <v>244</v>
      </c>
      <c r="I73" s="13" t="s">
        <v>370</v>
      </c>
    </row>
    <row r="74" spans="1:9" ht="72" x14ac:dyDescent="0.3">
      <c r="A74" s="13" t="s">
        <v>61</v>
      </c>
      <c r="B74" s="29">
        <f t="shared" si="7"/>
        <v>45900</v>
      </c>
      <c r="C74" s="20">
        <f>Feuil2!H74</f>
        <v>45900</v>
      </c>
      <c r="D74" s="13" t="s">
        <v>371</v>
      </c>
      <c r="E74" s="13" t="s">
        <v>372</v>
      </c>
      <c r="F74" s="15" t="s">
        <v>373</v>
      </c>
      <c r="G74" s="14" t="s">
        <v>245</v>
      </c>
      <c r="H74" s="13" t="s">
        <v>246</v>
      </c>
      <c r="I74" s="13" t="s">
        <v>374</v>
      </c>
    </row>
    <row r="75" spans="1:9" ht="72" x14ac:dyDescent="0.3">
      <c r="A75" s="13" t="s">
        <v>62</v>
      </c>
      <c r="B75" s="29">
        <f t="shared" si="7"/>
        <v>45907</v>
      </c>
      <c r="C75" s="20">
        <f>Feuil2!H75</f>
        <v>45907</v>
      </c>
      <c r="D75" s="13" t="s">
        <v>375</v>
      </c>
      <c r="E75" s="13" t="s">
        <v>247</v>
      </c>
      <c r="F75" s="15" t="s">
        <v>376</v>
      </c>
      <c r="G75" s="14" t="s">
        <v>248</v>
      </c>
      <c r="H75" s="13" t="s">
        <v>249</v>
      </c>
      <c r="I75" s="13" t="s">
        <v>318</v>
      </c>
    </row>
    <row r="76" spans="1:9" ht="57.6" x14ac:dyDescent="0.3">
      <c r="A76" s="13" t="s">
        <v>63</v>
      </c>
      <c r="B76" s="29" t="str">
        <f t="shared" si="7"/>
        <v/>
      </c>
      <c r="C76" s="20" t="str">
        <f>Feuil2!H76</f>
        <v/>
      </c>
      <c r="D76" s="13" t="s">
        <v>377</v>
      </c>
      <c r="E76" s="13" t="s">
        <v>378</v>
      </c>
      <c r="F76" s="15" t="s">
        <v>250</v>
      </c>
      <c r="G76" s="14" t="s">
        <v>251</v>
      </c>
      <c r="H76" s="13" t="s">
        <v>252</v>
      </c>
      <c r="I76" s="13" t="s">
        <v>379</v>
      </c>
    </row>
    <row r="77" spans="1:9" ht="72" x14ac:dyDescent="0.3">
      <c r="A77" s="13" t="s">
        <v>64</v>
      </c>
      <c r="B77" s="29">
        <f t="shared" si="7"/>
        <v>45921</v>
      </c>
      <c r="C77" s="20">
        <f>Feuil2!H77</f>
        <v>45921</v>
      </c>
      <c r="D77" s="13" t="s">
        <v>380</v>
      </c>
      <c r="E77" s="13" t="s">
        <v>381</v>
      </c>
      <c r="F77" s="15" t="s">
        <v>382</v>
      </c>
      <c r="G77" s="14" t="s">
        <v>253</v>
      </c>
      <c r="H77" s="13" t="s">
        <v>254</v>
      </c>
      <c r="I77" s="13" t="s">
        <v>383</v>
      </c>
    </row>
    <row r="78" spans="1:9" ht="72" x14ac:dyDescent="0.3">
      <c r="A78" s="13" t="s">
        <v>65</v>
      </c>
      <c r="B78" s="29">
        <f t="shared" si="7"/>
        <v>45928</v>
      </c>
      <c r="C78" s="20">
        <f>Feuil2!H78</f>
        <v>45928</v>
      </c>
      <c r="D78" s="13" t="s">
        <v>384</v>
      </c>
      <c r="E78" s="13" t="s">
        <v>385</v>
      </c>
      <c r="F78" s="15" t="s">
        <v>386</v>
      </c>
      <c r="G78" s="14" t="s">
        <v>255</v>
      </c>
      <c r="H78" s="13" t="s">
        <v>256</v>
      </c>
      <c r="I78" s="13" t="s">
        <v>387</v>
      </c>
    </row>
    <row r="79" spans="1:9" ht="57.6" x14ac:dyDescent="0.3">
      <c r="A79" s="13" t="s">
        <v>66</v>
      </c>
      <c r="B79" s="29">
        <f t="shared" si="7"/>
        <v>45935</v>
      </c>
      <c r="C79" s="20">
        <f>Feuil2!H79</f>
        <v>45935</v>
      </c>
      <c r="D79" s="13" t="s">
        <v>388</v>
      </c>
      <c r="E79" s="13" t="s">
        <v>389</v>
      </c>
      <c r="F79" s="15" t="s">
        <v>390</v>
      </c>
      <c r="G79" s="14" t="s">
        <v>257</v>
      </c>
      <c r="H79" s="13" t="s">
        <v>258</v>
      </c>
      <c r="I79" s="13" t="s">
        <v>391</v>
      </c>
    </row>
    <row r="80" spans="1:9" ht="57.6" x14ac:dyDescent="0.3">
      <c r="A80" s="13" t="s">
        <v>67</v>
      </c>
      <c r="B80" s="29">
        <f t="shared" si="7"/>
        <v>45942</v>
      </c>
      <c r="C80" s="20">
        <f>Feuil2!H80</f>
        <v>45942</v>
      </c>
      <c r="D80" s="13" t="s">
        <v>392</v>
      </c>
      <c r="E80" s="13" t="s">
        <v>259</v>
      </c>
      <c r="F80" s="15" t="s">
        <v>260</v>
      </c>
      <c r="G80" s="14" t="s">
        <v>261</v>
      </c>
      <c r="H80" s="13" t="s">
        <v>314</v>
      </c>
      <c r="I80" s="13" t="s">
        <v>393</v>
      </c>
    </row>
    <row r="81" spans="1:9" ht="57.6" x14ac:dyDescent="0.3">
      <c r="A81" s="13" t="s">
        <v>68</v>
      </c>
      <c r="B81" s="29">
        <f t="shared" si="7"/>
        <v>45949</v>
      </c>
      <c r="C81" s="20">
        <f>Feuil2!H81</f>
        <v>45949</v>
      </c>
      <c r="D81" s="13" t="s">
        <v>394</v>
      </c>
      <c r="E81" s="13" t="s">
        <v>395</v>
      </c>
      <c r="F81" s="15" t="s">
        <v>262</v>
      </c>
      <c r="G81" s="14" t="s">
        <v>263</v>
      </c>
      <c r="H81" s="13" t="s">
        <v>396</v>
      </c>
      <c r="I81" s="13" t="s">
        <v>264</v>
      </c>
    </row>
    <row r="82" spans="1:9" ht="72" x14ac:dyDescent="0.3">
      <c r="A82" s="13" t="s">
        <v>69</v>
      </c>
      <c r="B82" s="29">
        <f t="shared" si="7"/>
        <v>45956</v>
      </c>
      <c r="C82" s="20">
        <f>Feuil2!H82</f>
        <v>45956</v>
      </c>
      <c r="D82" s="13" t="s">
        <v>397</v>
      </c>
      <c r="E82" s="13" t="s">
        <v>398</v>
      </c>
      <c r="F82" s="15" t="s">
        <v>265</v>
      </c>
      <c r="G82" s="14" t="s">
        <v>266</v>
      </c>
      <c r="H82" s="13" t="s">
        <v>267</v>
      </c>
      <c r="I82" s="13" t="s">
        <v>399</v>
      </c>
    </row>
    <row r="83" spans="1:9" ht="72" x14ac:dyDescent="0.3">
      <c r="A83" s="13" t="s">
        <v>70</v>
      </c>
      <c r="B83" s="29" t="str">
        <f t="shared" si="7"/>
        <v/>
      </c>
      <c r="C83" s="20" t="str">
        <f>Feuil2!H83</f>
        <v/>
      </c>
      <c r="D83" s="13" t="s">
        <v>400</v>
      </c>
      <c r="E83" s="13" t="s">
        <v>268</v>
      </c>
      <c r="F83" s="15" t="s">
        <v>269</v>
      </c>
      <c r="G83" s="14" t="s">
        <v>270</v>
      </c>
      <c r="H83" s="13" t="s">
        <v>271</v>
      </c>
      <c r="I83" s="13" t="s">
        <v>401</v>
      </c>
    </row>
    <row r="84" spans="1:9" ht="57.6" x14ac:dyDescent="0.3">
      <c r="A84" s="13" t="s">
        <v>71</v>
      </c>
      <c r="B84" s="29">
        <f t="shared" si="7"/>
        <v>45970</v>
      </c>
      <c r="C84" s="20">
        <f>Feuil2!H84</f>
        <v>45970</v>
      </c>
      <c r="D84" s="13" t="s">
        <v>272</v>
      </c>
      <c r="E84" s="13" t="s">
        <v>402</v>
      </c>
      <c r="F84" s="15" t="s">
        <v>273</v>
      </c>
      <c r="G84" s="14" t="s">
        <v>274</v>
      </c>
      <c r="H84" s="13" t="s">
        <v>275</v>
      </c>
      <c r="I84" s="13" t="s">
        <v>316</v>
      </c>
    </row>
    <row r="85" spans="1:9" ht="72" x14ac:dyDescent="0.3">
      <c r="A85" s="13" t="s">
        <v>72</v>
      </c>
      <c r="B85" s="29">
        <f t="shared" si="7"/>
        <v>45977</v>
      </c>
      <c r="C85" s="20">
        <f>Feuil2!H85</f>
        <v>45977</v>
      </c>
      <c r="D85" s="13" t="s">
        <v>403</v>
      </c>
      <c r="E85" s="13" t="s">
        <v>404</v>
      </c>
      <c r="F85" s="15" t="s">
        <v>276</v>
      </c>
      <c r="G85" s="14" t="s">
        <v>432</v>
      </c>
      <c r="H85" s="13" t="s">
        <v>277</v>
      </c>
      <c r="I85" s="13" t="s">
        <v>405</v>
      </c>
    </row>
    <row r="86" spans="1:9" ht="57.6" x14ac:dyDescent="0.3">
      <c r="A86" s="13" t="s">
        <v>42</v>
      </c>
      <c r="B86" s="29">
        <f t="shared" si="7"/>
        <v>45984</v>
      </c>
      <c r="C86" s="20">
        <f>Feuil2!H86</f>
        <v>45984</v>
      </c>
      <c r="D86" s="13" t="s">
        <v>406</v>
      </c>
      <c r="E86" s="13" t="s">
        <v>278</v>
      </c>
      <c r="F86" s="15" t="s">
        <v>279</v>
      </c>
      <c r="G86" s="14" t="s">
        <v>280</v>
      </c>
      <c r="H86" s="13" t="s">
        <v>281</v>
      </c>
      <c r="I86" s="13" t="s">
        <v>430</v>
      </c>
    </row>
    <row r="87" spans="1:9" x14ac:dyDescent="0.3">
      <c r="B87" s="29"/>
      <c r="C87" s="22"/>
    </row>
    <row r="88" spans="1:9" x14ac:dyDescent="0.3">
      <c r="A88" s="27" t="s">
        <v>43</v>
      </c>
      <c r="B88" s="29"/>
      <c r="C88" s="22"/>
    </row>
    <row r="89" spans="1:9" ht="57.6" x14ac:dyDescent="0.3">
      <c r="A89" s="13" t="s">
        <v>49</v>
      </c>
      <c r="B89" s="29">
        <f t="shared" si="7"/>
        <v>45634</v>
      </c>
      <c r="C89" s="36">
        <f>Feuil2!H89</f>
        <v>45634</v>
      </c>
      <c r="D89" s="17" t="s">
        <v>407</v>
      </c>
      <c r="E89" s="31" t="str">
        <f>D89</f>
        <v>Genèse 3, 9-15.20 —  Dieu promet une descendance victorieuse du mal : Marie en est la première figure.</v>
      </c>
      <c r="F89" s="32" t="str">
        <f>D89</f>
        <v>Genèse 3, 9-15.20 —  Dieu promet une descendance victorieuse du mal : Marie en est la première figure.</v>
      </c>
      <c r="G89" s="33" t="s">
        <v>408</v>
      </c>
      <c r="H89" s="17" t="str">
        <f>G89</f>
        <v>Éphésiens 1, 3-6.11-12 — St Paul proclame que Dieu nous a choisis en Christ pour vivre dans la sainteté et la louange.</v>
      </c>
      <c r="I89" s="31" t="str">
        <f>G89</f>
        <v>Éphésiens 1, 3-6.11-12 — St Paul proclame que Dieu nous a choisis en Christ pour vivre dans la sainteté et la louange.</v>
      </c>
    </row>
    <row r="90" spans="1:9" ht="57.6" x14ac:dyDescent="0.3">
      <c r="A90" s="13" t="s">
        <v>73</v>
      </c>
      <c r="B90" s="29">
        <f t="shared" si="7"/>
        <v>45690</v>
      </c>
      <c r="C90" s="36">
        <f>Feuil2!H90</f>
        <v>45690</v>
      </c>
      <c r="D90" s="17" t="s">
        <v>423</v>
      </c>
      <c r="E90" s="31" t="str">
        <f t="shared" ref="E90:E99" si="12">D90</f>
        <v>Malachie 3, 1-4 — Le Seigneur entre dans son Temple pour purifier son peuple, tel un feu raffineur.</v>
      </c>
      <c r="F90" s="32" t="str">
        <f t="shared" ref="F90:F99" si="13">D90</f>
        <v>Malachie 3, 1-4 — Le Seigneur entre dans son Temple pour purifier son peuple, tel un feu raffineur.</v>
      </c>
      <c r="G90" s="31" t="s">
        <v>424</v>
      </c>
      <c r="H90" s="17" t="str">
        <f t="shared" ref="H90:H99" si="14">G90</f>
        <v>Hébreux 2, 14-18 —  Jésus partage notre condition humaine pour devenir un prêtre miséricordieux et fidèle.</v>
      </c>
      <c r="I90" s="31" t="str">
        <f t="shared" ref="I90:I99" si="15">G90</f>
        <v>Hébreux 2, 14-18 —  Jésus partage notre condition humaine pour devenir un prêtre miséricordieux et fidèle.</v>
      </c>
    </row>
    <row r="91" spans="1:9" ht="72" x14ac:dyDescent="0.3">
      <c r="A91" s="13" t="s">
        <v>83</v>
      </c>
      <c r="B91" s="29">
        <f t="shared" si="7"/>
        <v>45735</v>
      </c>
      <c r="C91" s="36">
        <f>Feuil2!H91</f>
        <v>45735</v>
      </c>
      <c r="D91" s="17" t="s">
        <v>409</v>
      </c>
      <c r="E91" s="31" t="str">
        <f t="shared" si="12"/>
        <v>2 Samuel 7, 4-5a.12-14a.16 — Dieu promet une maison stable à David : Joseph en reçoit l’accomplissement en accueillant le Messie.</v>
      </c>
      <c r="F91" s="32" t="str">
        <f t="shared" si="13"/>
        <v>2 Samuel 7, 4-5a.12-14a.16 — Dieu promet une maison stable à David : Joseph en reçoit l’accomplissement en accueillant le Messie.</v>
      </c>
      <c r="G91" s="31" t="s">
        <v>410</v>
      </c>
      <c r="H91" s="17" t="str">
        <f t="shared" si="14"/>
        <v>Romains 4, 13.16-18.22 — La foi d’Abraham, espérant contre toute espérance, éclaire celle de Joseph, silencieux et confiant.</v>
      </c>
      <c r="I91" s="31" t="str">
        <f t="shared" si="15"/>
        <v>Romains 4, 13.16-18.22 — La foi d’Abraham, espérant contre toute espérance, éclaire celle de Joseph, silencieux et confiant.</v>
      </c>
    </row>
    <row r="92" spans="1:9" ht="72" x14ac:dyDescent="0.3">
      <c r="A92" s="13" t="s">
        <v>44</v>
      </c>
      <c r="B92" s="29">
        <f t="shared" si="7"/>
        <v>45741</v>
      </c>
      <c r="C92" s="36">
        <f>Feuil2!H92</f>
        <v>45741</v>
      </c>
      <c r="D92" s="17" t="s">
        <v>411</v>
      </c>
      <c r="E92" s="31" t="str">
        <f t="shared" si="12"/>
        <v>Isaïe 7, 10-14  — Un signe est donné : la Vierge enfantera Emmanuel, Dieu avec nous.</v>
      </c>
      <c r="F92" s="32" t="str">
        <f t="shared" si="13"/>
        <v>Isaïe 7, 10-14  — Un signe est donné : la Vierge enfantera Emmanuel, Dieu avec nous.</v>
      </c>
      <c r="G92" s="31" t="s">
        <v>412</v>
      </c>
      <c r="H92" s="17" t="str">
        <f t="shared" si="14"/>
        <v>Hébreux 10, 4-10 — Le Christ entre dans le monde pour accomplir la volonté du Père : nous sommes sanctifiés par son offrande.</v>
      </c>
      <c r="I92" s="31" t="str">
        <f t="shared" si="15"/>
        <v>Hébreux 10, 4-10 — Le Christ entre dans le monde pour accomplir la volonté du Père : nous sommes sanctifiés par son offrande.</v>
      </c>
    </row>
    <row r="93" spans="1:9" ht="57.6" x14ac:dyDescent="0.3">
      <c r="A93" s="13" t="s">
        <v>45</v>
      </c>
      <c r="B93" s="29">
        <f t="shared" si="7"/>
        <v>45832</v>
      </c>
      <c r="C93" s="36">
        <f>Feuil2!H93</f>
        <v>45832</v>
      </c>
      <c r="D93" s="17" t="s">
        <v>413</v>
      </c>
      <c r="E93" s="31" t="str">
        <f t="shared" si="12"/>
        <v>Isaïe 49, 1-6 — Dieu appelle son serviteur dès le sein maternel pour être lumière des nations.</v>
      </c>
      <c r="F93" s="32" t="str">
        <f t="shared" si="13"/>
        <v>Isaïe 49, 1-6 — Dieu appelle son serviteur dès le sein maternel pour être lumière des nations.</v>
      </c>
      <c r="G93" s="31" t="s">
        <v>414</v>
      </c>
      <c r="H93" s="17" t="str">
        <f t="shared" si="14"/>
        <v>Actes 13, 22-26 — St Paul rappelle que Jean-Baptiste a préparé le chemin du Christ par un appel à la conversion.</v>
      </c>
      <c r="I93" s="31" t="str">
        <f t="shared" si="15"/>
        <v>Actes 13, 22-26 — St Paul rappelle que Jean-Baptiste a préparé le chemin du Christ par un appel à la conversion.</v>
      </c>
    </row>
    <row r="94" spans="1:9" ht="86.4" x14ac:dyDescent="0.3">
      <c r="A94" s="13" t="s">
        <v>84</v>
      </c>
      <c r="B94" s="29">
        <f t="shared" si="7"/>
        <v>45837</v>
      </c>
      <c r="C94" s="36">
        <f>Feuil2!H94</f>
        <v>45837</v>
      </c>
      <c r="D94" s="17" t="s">
        <v>523</v>
      </c>
      <c r="E94" s="31" t="str">
        <f t="shared" si="12"/>
        <v>Actes 12, 1-11 — Dieu protège Pierre en prison, réponse à la prière fidèle de l’Église.</v>
      </c>
      <c r="F94" s="32" t="str">
        <f t="shared" si="13"/>
        <v>Actes 12, 1-11 — Dieu protège Pierre en prison, réponse à la prière fidèle de l’Église.</v>
      </c>
      <c r="G94" s="31" t="s">
        <v>415</v>
      </c>
      <c r="H94" s="17" t="str">
        <f t="shared" si="14"/>
        <v xml:space="preserve">2 Timothée 4, 6-8.17-18 — St Paul, arrivé au terme de sa course, rend grâce au Seigneur pour sa fidélité et la couronne promise.
</v>
      </c>
      <c r="I94" s="31" t="str">
        <f t="shared" si="15"/>
        <v xml:space="preserve">2 Timothée 4, 6-8.17-18 — St Paul, arrivé au terme de sa course, rend grâce au Seigneur pour sa fidélité et la couronne promise.
</v>
      </c>
    </row>
    <row r="95" spans="1:9" ht="57.6" x14ac:dyDescent="0.3">
      <c r="A95" s="13" t="s">
        <v>46</v>
      </c>
      <c r="B95" s="29">
        <f t="shared" si="7"/>
        <v>45875</v>
      </c>
      <c r="C95" s="36">
        <f>Feuil2!H95</f>
        <v>45875</v>
      </c>
      <c r="D95" s="17" t="s">
        <v>416</v>
      </c>
      <c r="E95" s="31" t="str">
        <f t="shared" si="12"/>
        <v>Daniel 7, 9-10.13-14 — Daniel voit un Fils d’homme recevoir gloire et royauté : préfiguration du Christ transfiguré.</v>
      </c>
      <c r="F95" s="32" t="str">
        <f t="shared" si="13"/>
        <v>Daniel 7, 9-10.13-14 — Daniel voit un Fils d’homme recevoir gloire et royauté : préfiguration du Christ transfiguré.</v>
      </c>
      <c r="G95" s="31" t="s">
        <v>417</v>
      </c>
      <c r="H95" s="17" t="str">
        <f t="shared" si="14"/>
        <v>2 Pierre 1, 16-19 —  St Pierre atteste la gloire du Christ, vue sur la montagne, et confirme la Parole prophétique.</v>
      </c>
      <c r="I95" s="31" t="str">
        <f t="shared" si="15"/>
        <v>2 Pierre 1, 16-19 —  St Pierre atteste la gloire du Christ, vue sur la montagne, et confirme la Parole prophétique.</v>
      </c>
    </row>
    <row r="96" spans="1:9" ht="72" x14ac:dyDescent="0.3">
      <c r="A96" s="13" t="s">
        <v>47</v>
      </c>
      <c r="B96" s="29">
        <f t="shared" si="7"/>
        <v>45884</v>
      </c>
      <c r="C96" s="36">
        <f>Feuil2!H96</f>
        <v>45884</v>
      </c>
      <c r="D96" s="17" t="s">
        <v>418</v>
      </c>
      <c r="E96" s="31" t="str">
        <f t="shared" si="12"/>
        <v>Apocalypse 11, 19a ; 12, 1-6a.10ab — Une femme, couronnée d’étoiles, lutte contre le mal : signe de l’espérance en Marie, élevée au ciel.</v>
      </c>
      <c r="F96" s="32" t="str">
        <f t="shared" si="13"/>
        <v>Apocalypse 11, 19a ; 12, 1-6a.10ab — Une femme, couronnée d’étoiles, lutte contre le mal : signe de l’espérance en Marie, élevée au ciel.</v>
      </c>
      <c r="G96" s="31" t="s">
        <v>419</v>
      </c>
      <c r="H96" s="17" t="str">
        <f t="shared" si="14"/>
        <v>1 Corinthiens 15, 20-27a — Le Christ ressuscité est les prémices de ceux qui s’endorment : Marie en est le premier fruit glorifié.</v>
      </c>
      <c r="I96" s="31" t="str">
        <f t="shared" si="15"/>
        <v>1 Corinthiens 15, 20-27a — Le Christ ressuscité est les prémices de ceux qui s’endorment : Marie en est le premier fruit glorifié.</v>
      </c>
    </row>
    <row r="97" spans="1:9" ht="57.6" x14ac:dyDescent="0.3">
      <c r="A97" s="13" t="s">
        <v>85</v>
      </c>
      <c r="B97" s="29">
        <f t="shared" si="7"/>
        <v>45914</v>
      </c>
      <c r="C97" s="36">
        <f>Feuil2!H97</f>
        <v>45914</v>
      </c>
      <c r="D97" s="17" t="s">
        <v>420</v>
      </c>
      <c r="E97" s="31" t="str">
        <f t="shared" si="12"/>
        <v>Nombres 21, 4-9 — Le serpent élevé dans le désert préfigure le Christ élevé en croix pour notre salut.</v>
      </c>
      <c r="F97" s="32" t="str">
        <f t="shared" si="13"/>
        <v>Nombres 21, 4-9 — Le serpent élevé dans le désert préfigure le Christ élevé en croix pour notre salut.</v>
      </c>
      <c r="G97" s="31" t="s">
        <v>524</v>
      </c>
      <c r="H97" s="17" t="str">
        <f t="shared" si="14"/>
        <v>Philippiens 2, 6-11 — St Paul célèbre le Christ, abaissé jusqu’à la croix, exalté par le Père comme Seigneur de l’univers.</v>
      </c>
      <c r="I97" s="31" t="str">
        <f t="shared" si="15"/>
        <v>Philippiens 2, 6-11 — St Paul célèbre le Christ, abaissé jusqu’à la croix, exalté par le Père comme Seigneur de l’univers.</v>
      </c>
    </row>
    <row r="98" spans="1:9" ht="57.6" x14ac:dyDescent="0.3">
      <c r="A98" s="13" t="s">
        <v>48</v>
      </c>
      <c r="B98" s="29">
        <f t="shared" ref="B98:B99" si="16">C98</f>
        <v>45962</v>
      </c>
      <c r="C98" s="36">
        <f>Feuil2!H98</f>
        <v>45962</v>
      </c>
      <c r="D98" s="17" t="s">
        <v>421</v>
      </c>
      <c r="E98" s="31" t="str">
        <f t="shared" si="12"/>
        <v>Apocalypse 7, 2-4.9-14 — La foule innombrable des saints acclame Dieu : ils ont lavé leurs robes dans le sang de l’Agneau.</v>
      </c>
      <c r="F98" s="32" t="str">
        <f t="shared" si="13"/>
        <v>Apocalypse 7, 2-4.9-14 — La foule innombrable des saints acclame Dieu : ils ont lavé leurs robes dans le sang de l’Agneau.</v>
      </c>
      <c r="G98" s="31" t="s">
        <v>422</v>
      </c>
      <c r="H98" s="17" t="str">
        <f t="shared" si="14"/>
        <v>1 Jean 3, 1-3 — Nous sommes enfants de Dieu, appelés à lui ressembler pleinement dans la gloire.</v>
      </c>
      <c r="I98" s="31" t="str">
        <f t="shared" si="15"/>
        <v>1 Jean 3, 1-3 — Nous sommes enfants de Dieu, appelés à lui ressembler pleinement dans la gloire.</v>
      </c>
    </row>
    <row r="99" spans="1:9" ht="72" x14ac:dyDescent="0.3">
      <c r="A99" s="13" t="s">
        <v>508</v>
      </c>
      <c r="B99" s="29">
        <f t="shared" si="16"/>
        <v>45963</v>
      </c>
      <c r="C99" s="36">
        <f>Feuil2!H99</f>
        <v>45963</v>
      </c>
      <c r="D99" s="17" t="s">
        <v>511</v>
      </c>
      <c r="E99" s="17" t="str">
        <f t="shared" si="12"/>
        <v>Sagesse 3, 1-6.9 — Les âmes des justes sont dans la main de Dieu ; aucun tourment n’a de prise sur elles.</v>
      </c>
      <c r="F99" s="32" t="str">
        <f t="shared" si="13"/>
        <v>Sagesse 3, 1-6.9 — Les âmes des justes sont dans la main de Dieu ; aucun tourment n’a de prise sur elles.</v>
      </c>
      <c r="G99" s="17" t="s">
        <v>512</v>
      </c>
      <c r="H99" s="17" t="str">
        <f t="shared" si="14"/>
        <v>1 Corinthiens 15, 51-57 — St Paul, dans sa lettre aux Corinthiens, nous rappelle que, grâce à la résurrection du Christ, la mort n’a plus de pouvoir sur nous.</v>
      </c>
      <c r="I99" s="17" t="str">
        <f t="shared" si="15"/>
        <v>1 Corinthiens 15, 51-57 — St Paul, dans sa lettre aux Corinthiens, nous rappelle que, grâce à la résurrection du Christ, la mort n’a plus de pouvoir sur nous.</v>
      </c>
    </row>
    <row r="100" spans="1:9" x14ac:dyDescent="0.3">
      <c r="C100" s="36"/>
    </row>
    <row r="101" spans="1:9" x14ac:dyDescent="0.3">
      <c r="C101" s="36"/>
    </row>
  </sheetData>
  <mergeCells count="2">
    <mergeCell ref="D3:F3"/>
    <mergeCell ref="G3:I3"/>
  </mergeCells>
  <conditionalFormatting sqref="A62 D62:I62 C64">
    <cfRule type="expression" dxfId="23" priority="9">
      <formula>$C$64=""</formula>
    </cfRule>
  </conditionalFormatting>
  <conditionalFormatting sqref="A63 D63:I63 C65">
    <cfRule type="expression" dxfId="22" priority="8">
      <formula>$C$65=""</formula>
    </cfRule>
  </conditionalFormatting>
  <conditionalFormatting sqref="A64 D64:I64 C66">
    <cfRule type="expression" dxfId="21" priority="7">
      <formula>$C$66=""</formula>
    </cfRule>
  </conditionalFormatting>
  <conditionalFormatting sqref="A65 D65:I65 C67">
    <cfRule type="expression" dxfId="20" priority="6">
      <formula>$C$67=""</formula>
    </cfRule>
  </conditionalFormatting>
  <conditionalFormatting sqref="A83 D83:I83">
    <cfRule type="expression" dxfId="19" priority="4">
      <formula>$C85=""</formula>
    </cfRule>
  </conditionalFormatting>
  <conditionalFormatting sqref="A76 D76:I76 C78">
    <cfRule type="expression" dxfId="18" priority="3">
      <formula>$C$78=""</formula>
    </cfRule>
  </conditionalFormatting>
  <conditionalFormatting sqref="C85">
    <cfRule type="expression" dxfId="17" priority="222">
      <formula>$C85=""</formula>
    </cfRule>
  </conditionalFormatting>
  <conditionalFormatting sqref="A30 D30:I30 C32">
    <cfRule type="expression" dxfId="16" priority="225">
      <formula>$C$32=""</formula>
    </cfRule>
  </conditionalFormatting>
  <conditionalFormatting sqref="C4:C101">
    <cfRule type="expression" dxfId="15" priority="242">
      <formula>AND(C4=MIN(IF($C$4:$C$100&gt;TODAY(),$C$4:$C$100)),C4&gt;TODAY())</formula>
    </cfRule>
  </conditionalFormatting>
  <pageMargins left="0.7" right="0.7" top="0.75" bottom="0.75" header="0.3" footer="0.3"/>
  <pageSetup paperSize="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2" operator="equal" id="{D69BA075-AD85-4BF0-B9C2-917623EB5AF0}">
            <xm:f>Feuil2!$B$1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D2:I2</xm:sqref>
        </x14:conditionalFormatting>
        <x14:conditionalFormatting xmlns:xm="http://schemas.microsoft.com/office/excel/2006/main">
          <x14:cfRule type="expression" priority="163" id="{A33D1EB9-88F0-4BE9-975D-CE597D9B4D2B}">
            <xm:f>$D$2=Feuil2!$B$1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D4:D7</xm:sqref>
        </x14:conditionalFormatting>
        <x14:conditionalFormatting xmlns:xm="http://schemas.microsoft.com/office/excel/2006/main">
          <x14:cfRule type="expression" priority="164" id="{21555587-9388-47A4-933F-57A1405F383E}">
            <xm:f>$E$2=Feuil2!$B$1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E4:E7</xm:sqref>
        </x14:conditionalFormatting>
        <x14:conditionalFormatting xmlns:xm="http://schemas.microsoft.com/office/excel/2006/main">
          <x14:cfRule type="expression" priority="165" id="{8F27855C-C024-4272-A7EC-BDE65BC834E7}">
            <xm:f>$F$2=Feuil2!$B$1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F4:F7</xm:sqref>
        </x14:conditionalFormatting>
        <x14:conditionalFormatting xmlns:xm="http://schemas.microsoft.com/office/excel/2006/main">
          <x14:cfRule type="expression" priority="166" id="{13203874-D6F8-4A7E-9702-7E547A355B7B}">
            <xm:f>$G$2=Feuil2!$B$1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G4:G7</xm:sqref>
        </x14:conditionalFormatting>
        <x14:conditionalFormatting xmlns:xm="http://schemas.microsoft.com/office/excel/2006/main">
          <x14:cfRule type="expression" priority="167" id="{4E98E497-5CE4-45BB-A554-AB5E563E61AB}">
            <xm:f>$H$2=Feuil2!$B$1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H4:H7</xm:sqref>
        </x14:conditionalFormatting>
        <x14:conditionalFormatting xmlns:xm="http://schemas.microsoft.com/office/excel/2006/main">
          <x14:cfRule type="expression" priority="168" id="{8B4B3D26-C967-4711-B387-53BC41CEA320}">
            <xm:f>$I$2=Feuil2!$B$1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I4:I7 I16 I19 I34:I38 I62:I86 I49:I59 I22:I30</xm:sqref>
        </x14:conditionalFormatting>
        <x14:conditionalFormatting xmlns:xm="http://schemas.microsoft.com/office/excel/2006/main">
          <x14:cfRule type="expression" priority="175" id="{9584B43E-EF8F-4AB3-B099-0939A7979CF7}">
            <xm:f>$D$2=Feuil2!$B$1</xm:f>
            <x14:dxf>
              <font>
                <color rgb="FF006100"/>
              </font>
              <fill>
                <patternFill>
                  <fgColor auto="1"/>
                  <bgColor theme="6" tint="0.79998168889431442"/>
                </patternFill>
              </fill>
            </x14:dxf>
          </x14:cfRule>
          <xm:sqref>D16 D19 D34:D38 D62:D86 D49:D55 D57:D59 D22:D30</xm:sqref>
        </x14:conditionalFormatting>
        <x14:conditionalFormatting xmlns:xm="http://schemas.microsoft.com/office/excel/2006/main">
          <x14:cfRule type="expression" priority="182" id="{E97B9346-00E6-45EB-914F-808F0DD88EEE}">
            <xm:f>Feuil2!$B$1=$E$2</xm:f>
            <x14:dxf>
              <font>
                <color rgb="FF006100"/>
              </font>
              <fill>
                <patternFill>
                  <fgColor auto="1"/>
                  <bgColor theme="6" tint="0.79998168889431442"/>
                </patternFill>
              </fill>
            </x14:dxf>
          </x14:cfRule>
          <xm:sqref>E16 E19 E34:E38 E49:E53 E55 E62:E86 E57:E59 E22:E30</xm:sqref>
        </x14:conditionalFormatting>
        <x14:conditionalFormatting xmlns:xm="http://schemas.microsoft.com/office/excel/2006/main">
          <x14:cfRule type="expression" priority="190" id="{779D31D6-CF03-4349-8724-19F6CADDE299}">
            <xm:f>Feuil2!$B$1=$G$2</xm:f>
            <x14:dxf>
              <font>
                <color rgb="FF006100"/>
              </font>
              <fill>
                <patternFill>
                  <fgColor auto="1"/>
                  <bgColor theme="6" tint="0.79998168889431442"/>
                </patternFill>
              </fill>
            </x14:dxf>
          </x14:cfRule>
          <xm:sqref>G16 G19 G34:G38 G62:G86 G49:G59 G22:G30</xm:sqref>
        </x14:conditionalFormatting>
        <x14:conditionalFormatting xmlns:xm="http://schemas.microsoft.com/office/excel/2006/main">
          <x14:cfRule type="expression" priority="196" id="{11241C6A-7F6C-4C2C-AA9D-51AF87870FC6}">
            <xm:f>Feuil2!$B$1=$F$2</xm:f>
            <x14:dxf>
              <font>
                <color rgb="FF006100"/>
              </font>
              <fill>
                <patternFill>
                  <fgColor auto="1"/>
                  <bgColor theme="6" tint="0.79998168889431442"/>
                </patternFill>
              </fill>
            </x14:dxf>
          </x14:cfRule>
          <xm:sqref>F16 F19 F34:F38 F49:F53 F55 F62:F86 F57:F59 F22:F30</xm:sqref>
        </x14:conditionalFormatting>
        <x14:conditionalFormatting xmlns:xm="http://schemas.microsoft.com/office/excel/2006/main">
          <x14:cfRule type="expression" priority="204" id="{50CBC3F0-5D92-4B74-8FD0-53B63C3C41C1}">
            <xm:f>Feuil2!$B$1=$H$2</xm:f>
            <x14:dxf>
              <font>
                <color rgb="FF006100"/>
              </font>
              <fill>
                <patternFill>
                  <fgColor auto="1"/>
                  <bgColor theme="6" tint="0.79998168889431442"/>
                </patternFill>
              </fill>
            </x14:dxf>
          </x14:cfRule>
          <xm:sqref>H16 H19 H34:H38 H62:H86 H49:H59 H22:H30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D0C21-3FE7-441E-B096-DA51BC310245}">
  <sheetPr codeName="Feuil3"/>
  <dimension ref="A1:O113"/>
  <sheetViews>
    <sheetView tabSelected="1" zoomScaleNormal="100" workbookViewId="0">
      <selection activeCell="B1" sqref="B1"/>
    </sheetView>
  </sheetViews>
  <sheetFormatPr baseColWidth="10" defaultRowHeight="14.4" x14ac:dyDescent="0.3"/>
  <cols>
    <col min="2" max="2" width="27.109375" style="2" bestFit="1" customWidth="1"/>
    <col min="3" max="3" width="13" style="1" customWidth="1"/>
    <col min="4" max="4" width="9.33203125" style="1" bestFit="1" customWidth="1"/>
    <col min="5" max="5" width="30.6640625" style="11" customWidth="1"/>
    <col min="6" max="6" width="19" customWidth="1"/>
    <col min="7" max="7" width="8.44140625" bestFit="1" customWidth="1"/>
    <col min="8" max="8" width="18.88671875" bestFit="1" customWidth="1"/>
    <col min="10" max="10" width="37" customWidth="1"/>
    <col min="11" max="11" width="23.33203125" customWidth="1"/>
  </cols>
  <sheetData>
    <row r="1" spans="1:15" x14ac:dyDescent="0.3">
      <c r="A1" t="s">
        <v>518</v>
      </c>
      <c r="B1" t="str">
        <f>CHOOSE(MOD(B2-2022,3)+1,"A","B","C")</f>
        <v>C</v>
      </c>
      <c r="C1"/>
      <c r="D1" s="10"/>
      <c r="E1"/>
      <c r="O1" s="37">
        <f ca="1">IF(
  TODAY() &lt; DATE(YEAR(TODAY()),12,25) - WEEKDAY(DATE(YEAR(TODAY()),12,25),3) - 21,
  YEAR(TODAY()) - 1,
  YEAR(TODAY())
)</f>
        <v>2024</v>
      </c>
    </row>
    <row r="2" spans="1:15" x14ac:dyDescent="0.3">
      <c r="A2" t="s">
        <v>517</v>
      </c>
      <c r="B2" s="37">
        <v>2024</v>
      </c>
      <c r="C2"/>
      <c r="D2"/>
      <c r="E2"/>
    </row>
    <row r="5" spans="1:15" x14ac:dyDescent="0.3">
      <c r="A5" s="34">
        <f>B2+1</f>
        <v>2025</v>
      </c>
      <c r="B5" s="9" t="s">
        <v>0</v>
      </c>
      <c r="C5" s="1" t="s">
        <v>284</v>
      </c>
      <c r="D5" s="1" t="s">
        <v>285</v>
      </c>
      <c r="E5" s="11" t="s">
        <v>513</v>
      </c>
      <c r="F5" t="s">
        <v>286</v>
      </c>
      <c r="G5" t="s">
        <v>515</v>
      </c>
      <c r="H5" t="s">
        <v>516</v>
      </c>
    </row>
    <row r="6" spans="1:15" x14ac:dyDescent="0.3">
      <c r="B6" s="4" t="s">
        <v>1</v>
      </c>
      <c r="C6" s="5">
        <v>45988</v>
      </c>
      <c r="D6" s="5">
        <v>45994</v>
      </c>
      <c r="E6" s="11">
        <f>DATE(A5-1,12,25)-WEEKDAY(DATE(A5-1,12,25),2)-21</f>
        <v>45627</v>
      </c>
      <c r="F6" s="12" t="str">
        <f>IF(E6=$E$56,"Pentecôte",
IF(E6=$E$57,"Sainte Trinité",
IF(E6=$E$58,"Fête-Dieu",
IF(E6=$E$90,$B$90,
IF(E6=$E$91,$B$91,
IF(E6=$E$92,$B$92,
IF(E6=$E$93,$B$93,
IF(E6=$E$94,$B$94,
IF(E6=$E$95,$B$95,
IF(E6=$E$96,$B$96,
IF(E6=$E$97,$B$97,
IF(E6=$E$98,$B$98,
IF(E6=$E$99,$B$99,
IF(E6=$E$89,$B$89,
TEXT(E6,"")))))))))))))))</f>
        <v/>
      </c>
      <c r="G6" t="str">
        <f t="shared" ref="G6:G38" si="0">IF(OR(E6="", F6&lt;&gt;"", IF(F6&lt;&gt;B6, FALSE,TRUE)),IF(C6="", "","NON"),"OUI")</f>
        <v>OUI</v>
      </c>
      <c r="H6" s="8">
        <f t="shared" ref="H6:H38" si="1">IF(G6="OUI",E6,"")</f>
        <v>45627</v>
      </c>
    </row>
    <row r="7" spans="1:15" x14ac:dyDescent="0.3">
      <c r="B7" s="4" t="s">
        <v>2</v>
      </c>
      <c r="C7" s="6">
        <v>45995</v>
      </c>
      <c r="D7" s="6">
        <v>46001</v>
      </c>
      <c r="E7" s="11">
        <f>E6+7</f>
        <v>45634</v>
      </c>
      <c r="F7" s="12" t="str">
        <f>IF(E7=$E$56,"Pentecôte",
IF(E7=$E$57,"Sainte Trinité",
IF(E7=$E$58,"Fête-Dieu",
IF(E7=$E$90,$B$90,
IF(E7=$E$91,$B$91,
IF(E7=$E$92,$B$92,
IF(E7=$E$93,$B$93,
IF(E7=$E$94,$B$94,
IF(E7=$E$95,$B$95,
IF(E7=$E$96,$B$96,
IF(E7=$E$97,$B$97,
IF(E7=$E$98,$B$98,
IF(E7=$E$99,$B$99,
IF(E7=$E$89,$B$89,
TEXT(E7,"")))))))))))))))</f>
        <v>Immaculée Conception</v>
      </c>
      <c r="G7" t="str">
        <f t="shared" si="0"/>
        <v>NON</v>
      </c>
      <c r="H7" s="8" t="str">
        <f t="shared" si="1"/>
        <v/>
      </c>
    </row>
    <row r="8" spans="1:15" x14ac:dyDescent="0.3">
      <c r="B8" s="4" t="s">
        <v>3</v>
      </c>
      <c r="C8" s="5">
        <v>46002</v>
      </c>
      <c r="D8" s="5">
        <v>46008</v>
      </c>
      <c r="E8" s="11">
        <f>E7+7</f>
        <v>45641</v>
      </c>
      <c r="F8" s="12" t="str">
        <f>IF(E8=$E$56,"Pentecôte",
IF(E8=$E$57,"Sainte Trinité",
IF(E8=$E$58,"Fête-Dieu",
IF(E8=$E$90,$B$90,
IF(E8=$E$91,$B$91,
IF(E8=$E$92,$B$92,
IF(E8=$E$93,$B$93,
IF(E8=$E$94,$B$94,
IF(E8=$E$95,$B$95,
IF(E8=$E$96,$B$96,
IF(E8=$E$97,$B$97,
IF(E8=$E$98,$B$98,
IF(E8=$E$99,$B$99,
IF(E8=$E$89,$B$89,
TEXT(E8,"")))))))))))))))</f>
        <v/>
      </c>
      <c r="G8" t="str">
        <f t="shared" si="0"/>
        <v>OUI</v>
      </c>
      <c r="H8" s="8">
        <f t="shared" si="1"/>
        <v>45641</v>
      </c>
    </row>
    <row r="9" spans="1:15" x14ac:dyDescent="0.3">
      <c r="B9" s="4" t="s">
        <v>4</v>
      </c>
      <c r="C9" s="5">
        <v>46009</v>
      </c>
      <c r="D9" s="5">
        <v>46015</v>
      </c>
      <c r="E9" s="11">
        <f>E8+7</f>
        <v>45648</v>
      </c>
      <c r="F9" s="12" t="str">
        <f>IF(E9=$E$12,$B$12,TEXT(E9,""))</f>
        <v/>
      </c>
      <c r="G9" t="str">
        <f t="shared" si="0"/>
        <v>OUI</v>
      </c>
      <c r="H9" s="8">
        <f t="shared" si="1"/>
        <v>45648</v>
      </c>
    </row>
    <row r="10" spans="1:15" x14ac:dyDescent="0.3">
      <c r="C10" s="3"/>
      <c r="D10" s="3"/>
      <c r="F10" s="12"/>
      <c r="H10" s="8"/>
    </row>
    <row r="11" spans="1:15" x14ac:dyDescent="0.3">
      <c r="B11" s="9" t="s">
        <v>5</v>
      </c>
      <c r="C11" s="3"/>
      <c r="D11" s="3"/>
      <c r="F11" s="12" t="str">
        <f t="shared" ref="F11:F40" si="2">IF(E11=$E$56,"Pentecôte",
IF(E11=$E$57,"Sainte Trinité",
IF(E11=$E$58,"Fête-Dieu",
IF(E11=$E$90,$B$90,
IF(E11=$E$91,$B$91,
IF(E11=$E$92,$B$92,
IF(E11=$E$93,$B$93,
IF(E11=$E$94,$B$94,
IF(E11=$E$95,$B$95,
IF(E11=$E$96,$B$96,
IF(E11=$E$97,$B$97,
IF(E11=$E$98,$B$98,
IF(E11=$E$99,$B$99,
IF(E11=$E$89,$B$89,
TEXT(E11,"")))))))))))))))</f>
        <v/>
      </c>
      <c r="G11" t="str">
        <f t="shared" si="0"/>
        <v/>
      </c>
      <c r="H11" s="8" t="str">
        <f t="shared" si="1"/>
        <v/>
      </c>
    </row>
    <row r="12" spans="1:15" x14ac:dyDescent="0.3">
      <c r="B12" s="4" t="s">
        <v>87</v>
      </c>
      <c r="C12" s="3"/>
      <c r="D12" s="3"/>
      <c r="E12" s="11">
        <f>E13-1</f>
        <v>45650</v>
      </c>
      <c r="F12" s="12" t="str">
        <f t="shared" si="2"/>
        <v/>
      </c>
      <c r="G12" t="str">
        <f t="shared" si="0"/>
        <v>OUI</v>
      </c>
      <c r="H12" s="8">
        <f t="shared" si="1"/>
        <v>45650</v>
      </c>
    </row>
    <row r="13" spans="1:15" x14ac:dyDescent="0.3">
      <c r="B13" s="4" t="s">
        <v>88</v>
      </c>
      <c r="C13" s="3"/>
      <c r="D13" s="3"/>
      <c r="E13" s="11">
        <f>DATE(A5-1,12,25)</f>
        <v>45651</v>
      </c>
      <c r="F13" s="12" t="str">
        <f t="shared" si="2"/>
        <v/>
      </c>
      <c r="G13" t="str">
        <f t="shared" si="0"/>
        <v>OUI</v>
      </c>
      <c r="H13" s="8">
        <f t="shared" si="1"/>
        <v>45651</v>
      </c>
    </row>
    <row r="14" spans="1:15" x14ac:dyDescent="0.3">
      <c r="B14" s="4" t="s">
        <v>89</v>
      </c>
      <c r="C14" s="3"/>
      <c r="D14" s="3"/>
      <c r="E14" s="11">
        <f>E13+1</f>
        <v>45652</v>
      </c>
      <c r="F14" s="12" t="str">
        <f t="shared" si="2"/>
        <v/>
      </c>
      <c r="G14" t="str">
        <f t="shared" si="0"/>
        <v>OUI</v>
      </c>
      <c r="H14" s="8">
        <f t="shared" si="1"/>
        <v>45652</v>
      </c>
    </row>
    <row r="15" spans="1:15" x14ac:dyDescent="0.3">
      <c r="B15" s="4" t="s">
        <v>77</v>
      </c>
      <c r="C15" s="3"/>
      <c r="D15" s="3"/>
      <c r="E15" s="11">
        <f>E13+2</f>
        <v>45653</v>
      </c>
      <c r="F15" s="12" t="str">
        <f t="shared" si="2"/>
        <v/>
      </c>
      <c r="G15" t="str">
        <f t="shared" si="0"/>
        <v>OUI</v>
      </c>
      <c r="H15" s="8">
        <f t="shared" si="1"/>
        <v>45653</v>
      </c>
    </row>
    <row r="16" spans="1:15" x14ac:dyDescent="0.3">
      <c r="B16" s="4" t="s">
        <v>91</v>
      </c>
      <c r="C16" s="5">
        <v>46017</v>
      </c>
      <c r="D16" s="5">
        <v>46022</v>
      </c>
      <c r="E16" s="11">
        <f>IF(WEEKDAY(DATE(A5-1,12,25),2)=7,DATE(A5-1,12,30),DATE(A5-1,12,25)+7-WEEKDAY(DATE(A5-1,12,25),2))</f>
        <v>45655</v>
      </c>
      <c r="F16" s="12" t="str">
        <f t="shared" si="2"/>
        <v/>
      </c>
      <c r="G16" t="str">
        <f t="shared" si="0"/>
        <v>OUI</v>
      </c>
      <c r="H16" s="8">
        <f t="shared" si="1"/>
        <v>45655</v>
      </c>
    </row>
    <row r="17" spans="2:8" x14ac:dyDescent="0.3">
      <c r="B17" s="4" t="s">
        <v>90</v>
      </c>
      <c r="C17" s="5"/>
      <c r="D17" s="5"/>
      <c r="E17" s="11">
        <f>DATE(A5,1,1)</f>
        <v>45658</v>
      </c>
      <c r="F17" s="12" t="str">
        <f t="shared" si="2"/>
        <v/>
      </c>
      <c r="G17" t="str">
        <f t="shared" si="0"/>
        <v>OUI</v>
      </c>
      <c r="H17" s="8">
        <f t="shared" si="1"/>
        <v>45658</v>
      </c>
    </row>
    <row r="18" spans="2:8" x14ac:dyDescent="0.3">
      <c r="B18" s="4" t="s">
        <v>92</v>
      </c>
      <c r="C18" s="5">
        <v>45659</v>
      </c>
      <c r="D18" s="5">
        <v>45665</v>
      </c>
      <c r="E18" s="11">
        <f>DATE(A5,1,2)+MOD(7-WEEKDAY(DATE(A5,1,2),2),7)</f>
        <v>45662</v>
      </c>
      <c r="F18" s="12" t="str">
        <f t="shared" si="2"/>
        <v/>
      </c>
      <c r="G18" t="str">
        <f t="shared" si="0"/>
        <v>OUI</v>
      </c>
      <c r="H18" s="8">
        <f t="shared" si="1"/>
        <v>45662</v>
      </c>
    </row>
    <row r="19" spans="2:8" x14ac:dyDescent="0.3">
      <c r="B19" s="4" t="s">
        <v>11</v>
      </c>
      <c r="C19" s="5">
        <v>45664</v>
      </c>
      <c r="D19" s="5">
        <v>45670</v>
      </c>
      <c r="E19" s="11">
        <f>IF(OR(DAY(E18)=7,DAY(E18)=8),E18+1,E18+7)</f>
        <v>45669</v>
      </c>
      <c r="F19" s="12" t="str">
        <f t="shared" si="2"/>
        <v/>
      </c>
      <c r="G19" t="str">
        <f t="shared" si="0"/>
        <v>OUI</v>
      </c>
      <c r="H19" s="8">
        <f t="shared" si="1"/>
        <v>45669</v>
      </c>
    </row>
    <row r="20" spans="2:8" x14ac:dyDescent="0.3">
      <c r="C20" s="3"/>
      <c r="D20" s="3"/>
      <c r="F20" s="12" t="str">
        <f t="shared" si="2"/>
        <v/>
      </c>
      <c r="G20" t="str">
        <f t="shared" si="0"/>
        <v/>
      </c>
      <c r="H20" s="8" t="str">
        <f t="shared" si="1"/>
        <v/>
      </c>
    </row>
    <row r="21" spans="2:8" x14ac:dyDescent="0.3">
      <c r="B21" s="9" t="s">
        <v>520</v>
      </c>
      <c r="C21" s="3"/>
      <c r="D21" s="3"/>
      <c r="F21" s="12" t="str">
        <f t="shared" si="2"/>
        <v/>
      </c>
      <c r="G21" t="str">
        <f t="shared" si="0"/>
        <v/>
      </c>
      <c r="H21" s="8" t="str">
        <f t="shared" si="1"/>
        <v/>
      </c>
    </row>
    <row r="22" spans="2:8" x14ac:dyDescent="0.3">
      <c r="B22" s="4" t="s">
        <v>86</v>
      </c>
      <c r="C22" s="3"/>
      <c r="D22" s="3"/>
      <c r="E22" s="11" t="str">
        <f>IF(E19+MOD(7-WEEKDAY(E19,2),7)=E19,"",E19+MOD(7-WEEKDAY(E19,2),7))</f>
        <v/>
      </c>
      <c r="F22" s="12" t="str">
        <f t="shared" si="2"/>
        <v/>
      </c>
      <c r="G22" t="str">
        <f>IF(E22="", "", IF(F22&lt;&gt;"", "NON", IF(E22&lt;$E$33, "OUI", "NON")))</f>
        <v/>
      </c>
      <c r="H22" s="8" t="str">
        <f t="shared" si="1"/>
        <v/>
      </c>
    </row>
    <row r="23" spans="2:8" x14ac:dyDescent="0.3">
      <c r="B23" s="4" t="s">
        <v>13</v>
      </c>
      <c r="C23" s="5">
        <v>45664</v>
      </c>
      <c r="D23" s="5">
        <v>45671</v>
      </c>
      <c r="E23" s="11">
        <f>IF(E22&lt;&gt;"",E22+7,IF(WEEKDAY(E19,1)=1,E19+7,E19+14))</f>
        <v>45676</v>
      </c>
      <c r="F23" s="12" t="str">
        <f t="shared" si="2"/>
        <v/>
      </c>
      <c r="G23" t="str">
        <f t="shared" ref="G23:G30" si="3">IF(E23="", "", IF(F23&lt;&gt;"", "NON", IF(E23&lt;$E$33, "OUI", "NON")))</f>
        <v>OUI</v>
      </c>
      <c r="H23" s="8">
        <f t="shared" si="1"/>
        <v>45676</v>
      </c>
    </row>
    <row r="24" spans="2:8" ht="28.8" x14ac:dyDescent="0.3">
      <c r="B24" s="4" t="s">
        <v>14</v>
      </c>
      <c r="C24" s="5">
        <v>45671</v>
      </c>
      <c r="D24" s="5">
        <v>45678</v>
      </c>
      <c r="E24" s="11">
        <f>E23+7</f>
        <v>45683</v>
      </c>
      <c r="F24" s="12" t="str">
        <f t="shared" si="2"/>
        <v/>
      </c>
      <c r="G24" t="str">
        <f t="shared" si="3"/>
        <v>OUI</v>
      </c>
      <c r="H24" s="8">
        <f t="shared" si="1"/>
        <v>45683</v>
      </c>
    </row>
    <row r="25" spans="2:8" x14ac:dyDescent="0.3">
      <c r="B25" s="4" t="s">
        <v>15</v>
      </c>
      <c r="C25" s="5">
        <v>45678</v>
      </c>
      <c r="D25" s="5">
        <v>45685</v>
      </c>
      <c r="E25" s="11">
        <f t="shared" ref="E25:E29" si="4">E24+7</f>
        <v>45690</v>
      </c>
      <c r="F25" s="12" t="str">
        <f t="shared" si="2"/>
        <v>Chandeleur</v>
      </c>
      <c r="G25" t="str">
        <f t="shared" si="3"/>
        <v>NON</v>
      </c>
      <c r="H25" s="8" t="str">
        <f t="shared" si="1"/>
        <v/>
      </c>
    </row>
    <row r="26" spans="2:8" x14ac:dyDescent="0.3">
      <c r="B26" s="4" t="s">
        <v>16</v>
      </c>
      <c r="C26" s="5">
        <f>C25+7</f>
        <v>45685</v>
      </c>
      <c r="D26" s="5">
        <v>45692</v>
      </c>
      <c r="E26" s="11">
        <f t="shared" si="4"/>
        <v>45697</v>
      </c>
      <c r="F26" s="12" t="str">
        <f t="shared" si="2"/>
        <v/>
      </c>
      <c r="G26" t="str">
        <f t="shared" si="3"/>
        <v>OUI</v>
      </c>
      <c r="H26" s="8">
        <f t="shared" si="1"/>
        <v>45697</v>
      </c>
    </row>
    <row r="27" spans="2:8" x14ac:dyDescent="0.3">
      <c r="B27" s="4" t="s">
        <v>17</v>
      </c>
      <c r="C27" s="5">
        <f t="shared" ref="C27:C30" si="5">C26+7</f>
        <v>45692</v>
      </c>
      <c r="D27" s="5">
        <v>45699</v>
      </c>
      <c r="E27" s="11">
        <f t="shared" si="4"/>
        <v>45704</v>
      </c>
      <c r="F27" s="12" t="str">
        <f t="shared" si="2"/>
        <v/>
      </c>
      <c r="G27" t="str">
        <f t="shared" si="3"/>
        <v>OUI</v>
      </c>
      <c r="H27" s="8">
        <f t="shared" si="1"/>
        <v>45704</v>
      </c>
    </row>
    <row r="28" spans="2:8" x14ac:dyDescent="0.3">
      <c r="B28" s="4" t="s">
        <v>18</v>
      </c>
      <c r="C28" s="5">
        <f t="shared" si="5"/>
        <v>45699</v>
      </c>
      <c r="D28" s="5">
        <v>45706</v>
      </c>
      <c r="E28" s="11">
        <f t="shared" si="4"/>
        <v>45711</v>
      </c>
      <c r="F28" s="12" t="str">
        <f t="shared" si="2"/>
        <v/>
      </c>
      <c r="G28" t="str">
        <f t="shared" si="3"/>
        <v>OUI</v>
      </c>
      <c r="H28" s="8">
        <f t="shared" si="1"/>
        <v>45711</v>
      </c>
    </row>
    <row r="29" spans="2:8" x14ac:dyDescent="0.3">
      <c r="B29" s="4" t="s">
        <v>19</v>
      </c>
      <c r="C29" s="5">
        <f t="shared" si="5"/>
        <v>45706</v>
      </c>
      <c r="D29" s="5">
        <v>45712</v>
      </c>
      <c r="E29" s="11">
        <f t="shared" si="4"/>
        <v>45718</v>
      </c>
      <c r="F29" s="12" t="str">
        <f t="shared" si="2"/>
        <v/>
      </c>
      <c r="G29" t="str">
        <f t="shared" si="3"/>
        <v>OUI</v>
      </c>
      <c r="H29" s="8">
        <f t="shared" si="1"/>
        <v>45718</v>
      </c>
    </row>
    <row r="30" spans="2:8" x14ac:dyDescent="0.3">
      <c r="B30" s="4" t="s">
        <v>20</v>
      </c>
      <c r="C30" s="5">
        <f t="shared" si="5"/>
        <v>45713</v>
      </c>
      <c r="D30" s="5">
        <v>45718</v>
      </c>
      <c r="E30" s="11" t="str">
        <f>IF(E23+49&lt;E33,E23+49,"")</f>
        <v/>
      </c>
      <c r="F30" s="12" t="str">
        <f t="shared" si="2"/>
        <v/>
      </c>
      <c r="G30" t="str">
        <f t="shared" si="3"/>
        <v/>
      </c>
      <c r="H30" s="8" t="str">
        <f t="shared" si="1"/>
        <v/>
      </c>
    </row>
    <row r="31" spans="2:8" x14ac:dyDescent="0.3">
      <c r="C31" s="3"/>
      <c r="D31" s="3"/>
      <c r="F31" s="12" t="str">
        <f t="shared" si="2"/>
        <v/>
      </c>
      <c r="G31" t="str">
        <f t="shared" si="0"/>
        <v/>
      </c>
      <c r="H31" s="8" t="str">
        <f t="shared" si="1"/>
        <v/>
      </c>
    </row>
    <row r="32" spans="2:8" x14ac:dyDescent="0.3">
      <c r="B32" s="9" t="s">
        <v>21</v>
      </c>
      <c r="C32" s="3"/>
      <c r="D32" s="3"/>
      <c r="F32" s="12" t="str">
        <f t="shared" si="2"/>
        <v/>
      </c>
      <c r="G32" t="str">
        <f t="shared" si="0"/>
        <v/>
      </c>
      <c r="H32" s="8" t="str">
        <f t="shared" si="1"/>
        <v/>
      </c>
    </row>
    <row r="33" spans="2:8" x14ac:dyDescent="0.3">
      <c r="B33" s="4" t="s">
        <v>22</v>
      </c>
      <c r="C33" s="5">
        <v>45692</v>
      </c>
      <c r="D33" s="5">
        <v>45726</v>
      </c>
      <c r="E33" s="11">
        <f>E45-46</f>
        <v>45721</v>
      </c>
      <c r="F33" s="12" t="str">
        <f t="shared" si="2"/>
        <v/>
      </c>
      <c r="G33" t="str">
        <f t="shared" si="0"/>
        <v>OUI</v>
      </c>
      <c r="H33" s="8">
        <f t="shared" si="1"/>
        <v>45721</v>
      </c>
    </row>
    <row r="34" spans="2:8" x14ac:dyDescent="0.3">
      <c r="B34" s="4" t="s">
        <v>23</v>
      </c>
      <c r="C34" s="5">
        <v>45696</v>
      </c>
      <c r="D34" s="5">
        <v>45730</v>
      </c>
      <c r="E34" s="11">
        <f>E45-42</f>
        <v>45725</v>
      </c>
      <c r="F34" s="12" t="str">
        <f t="shared" si="2"/>
        <v/>
      </c>
      <c r="G34" t="str">
        <f t="shared" si="0"/>
        <v>OUI</v>
      </c>
      <c r="H34" s="8">
        <f t="shared" si="1"/>
        <v>45725</v>
      </c>
    </row>
    <row r="35" spans="2:8" x14ac:dyDescent="0.3">
      <c r="B35" s="4" t="s">
        <v>24</v>
      </c>
      <c r="C35" s="5">
        <f>C34+7</f>
        <v>45703</v>
      </c>
      <c r="D35" s="5">
        <v>45737</v>
      </c>
      <c r="E35" s="11">
        <f>E45-35</f>
        <v>45732</v>
      </c>
      <c r="F35" s="12" t="str">
        <f t="shared" si="2"/>
        <v/>
      </c>
      <c r="G35" t="str">
        <f t="shared" si="0"/>
        <v>OUI</v>
      </c>
      <c r="H35" s="8">
        <f t="shared" si="1"/>
        <v>45732</v>
      </c>
    </row>
    <row r="36" spans="2:8" x14ac:dyDescent="0.3">
      <c r="B36" s="4" t="s">
        <v>25</v>
      </c>
      <c r="C36" s="5">
        <f t="shared" ref="C36:C38" si="6">C35+7</f>
        <v>45710</v>
      </c>
      <c r="D36" s="5">
        <v>45744</v>
      </c>
      <c r="E36" s="11">
        <f>E45-28</f>
        <v>45739</v>
      </c>
      <c r="F36" s="12" t="str">
        <f t="shared" si="2"/>
        <v/>
      </c>
      <c r="G36" t="str">
        <f t="shared" si="0"/>
        <v>OUI</v>
      </c>
      <c r="H36" s="8">
        <f t="shared" si="1"/>
        <v>45739</v>
      </c>
    </row>
    <row r="37" spans="2:8" x14ac:dyDescent="0.3">
      <c r="B37" s="4" t="s">
        <v>26</v>
      </c>
      <c r="C37" s="5">
        <f t="shared" si="6"/>
        <v>45717</v>
      </c>
      <c r="D37" s="5">
        <v>45751</v>
      </c>
      <c r="E37" s="11">
        <f>E45-21</f>
        <v>45746</v>
      </c>
      <c r="F37" s="12" t="str">
        <f t="shared" si="2"/>
        <v/>
      </c>
      <c r="G37" t="str">
        <f t="shared" si="0"/>
        <v>OUI</v>
      </c>
      <c r="H37" s="8">
        <f t="shared" si="1"/>
        <v>45746</v>
      </c>
    </row>
    <row r="38" spans="2:8" x14ac:dyDescent="0.3">
      <c r="B38" s="4" t="s">
        <v>27</v>
      </c>
      <c r="C38" s="5">
        <f t="shared" si="6"/>
        <v>45724</v>
      </c>
      <c r="D38" s="5">
        <v>45758</v>
      </c>
      <c r="E38" s="11">
        <f>E45-14</f>
        <v>45753</v>
      </c>
      <c r="F38" s="12" t="str">
        <f t="shared" si="2"/>
        <v/>
      </c>
      <c r="G38" t="str">
        <f t="shared" si="0"/>
        <v>OUI</v>
      </c>
      <c r="H38" s="8">
        <f t="shared" si="1"/>
        <v>45753</v>
      </c>
    </row>
    <row r="39" spans="2:8" x14ac:dyDescent="0.3">
      <c r="C39" s="3"/>
      <c r="D39" s="3"/>
      <c r="F39" s="12" t="str">
        <f t="shared" si="2"/>
        <v/>
      </c>
      <c r="G39" t="str">
        <f t="shared" ref="G39:G55" si="7">IF(OR(E39="", F39&lt;&gt;"", IF(F39&lt;&gt;B39, FALSE,TRUE)),IF(C39="", "","NON"),"OUI")</f>
        <v/>
      </c>
      <c r="H39" s="8" t="str">
        <f t="shared" ref="H39:H70" si="8">IF(G39="OUI",E39,"")</f>
        <v/>
      </c>
    </row>
    <row r="40" spans="2:8" x14ac:dyDescent="0.3">
      <c r="B40" s="9" t="s">
        <v>522</v>
      </c>
      <c r="C40" s="3"/>
      <c r="D40" s="3"/>
      <c r="F40" s="12" t="str">
        <f t="shared" si="2"/>
        <v/>
      </c>
      <c r="G40" t="str">
        <f t="shared" si="7"/>
        <v/>
      </c>
      <c r="H40" s="8" t="str">
        <f t="shared" si="8"/>
        <v/>
      </c>
    </row>
    <row r="41" spans="2:8" ht="28.8" x14ac:dyDescent="0.3">
      <c r="B41" s="35" t="s">
        <v>28</v>
      </c>
      <c r="C41" s="5">
        <v>45731</v>
      </c>
      <c r="D41" s="5">
        <v>45765</v>
      </c>
      <c r="E41" s="11">
        <f>E45-7</f>
        <v>45760</v>
      </c>
      <c r="F41" s="12"/>
      <c r="G41" t="s">
        <v>525</v>
      </c>
      <c r="H41" s="8">
        <f t="shared" si="8"/>
        <v>45760</v>
      </c>
    </row>
    <row r="42" spans="2:8" x14ac:dyDescent="0.3">
      <c r="B42" s="35" t="s">
        <v>79</v>
      </c>
      <c r="C42" s="5">
        <v>45735</v>
      </c>
      <c r="D42" s="5">
        <v>45769</v>
      </c>
      <c r="E42" s="11">
        <f>E45-3</f>
        <v>45764</v>
      </c>
      <c r="F42" s="12"/>
      <c r="G42" t="s">
        <v>525</v>
      </c>
      <c r="H42" s="8">
        <f t="shared" si="8"/>
        <v>45764</v>
      </c>
    </row>
    <row r="43" spans="2:8" x14ac:dyDescent="0.3">
      <c r="B43" s="35" t="s">
        <v>80</v>
      </c>
      <c r="C43" s="5">
        <v>45736</v>
      </c>
      <c r="D43" s="5">
        <v>45770</v>
      </c>
      <c r="E43" s="11">
        <f>E45-2</f>
        <v>45765</v>
      </c>
      <c r="F43" s="12"/>
      <c r="G43" t="s">
        <v>525</v>
      </c>
      <c r="H43" s="8">
        <f t="shared" si="8"/>
        <v>45765</v>
      </c>
    </row>
    <row r="44" spans="2:8" x14ac:dyDescent="0.3">
      <c r="B44" s="35" t="s">
        <v>74</v>
      </c>
      <c r="C44" s="5">
        <v>45737</v>
      </c>
      <c r="D44" s="5">
        <v>45771</v>
      </c>
      <c r="E44" s="11">
        <f>E45-1</f>
        <v>45766</v>
      </c>
      <c r="F44" s="12"/>
      <c r="G44" t="s">
        <v>525</v>
      </c>
      <c r="H44" s="8">
        <f t="shared" si="8"/>
        <v>45766</v>
      </c>
    </row>
    <row r="45" spans="2:8" x14ac:dyDescent="0.3">
      <c r="B45" s="35" t="s">
        <v>29</v>
      </c>
      <c r="C45" s="5">
        <v>45738</v>
      </c>
      <c r="D45" s="5">
        <v>45772</v>
      </c>
      <c r="E45" s="11">
        <f>_xlfn.LET(
  _xlpm.a,MOD(A5,19),
  _xlpm.b,INT(A5/100),
  _xlpm.c,MOD(A5,100),
  _xlpm.d,INT(_xlpm.b/4),
  _xlpm.e,MOD(_xlpm.b,4),
  _xlpm.f,INT((_xlpm.b+8)/25),
  _xlpm.g,INT((_xlpm.b-_xlpm.f+1)/3),
  _xlpm.h,MOD(19*_xlpm.a+_xlpm.b-_xlpm.d-_xlpm.g+15,30),
  _xlpm.i,INT(_xlpm.c/4),
  _xlpm.k,MOD(_xlpm.c,4),
  _xlpm.l,MOD(32+2*_xlpm.e+2*_xlpm.i-_xlpm.h-_xlpm.k,7),
  _xlpm.m,INT((_xlpm.a+11*_xlpm.h+22*_xlpm.l)/451),
  _xlpm.mois,INT((_xlpm.h+_xlpm.l-7*_xlpm.m+114)/31),
  _xlpm.jour,MOD(_xlpm.h+_xlpm.l-7*_xlpm.m+114,31)+1,
  DATE(A5,_xlpm.mois,_xlpm.jour)
)</f>
        <v>45767</v>
      </c>
      <c r="F45" s="12"/>
      <c r="G45" t="s">
        <v>525</v>
      </c>
      <c r="H45" s="8">
        <f t="shared" si="8"/>
        <v>45767</v>
      </c>
    </row>
    <row r="46" spans="2:8" x14ac:dyDescent="0.3">
      <c r="B46" s="35" t="s">
        <v>75</v>
      </c>
      <c r="C46" s="5">
        <v>45739</v>
      </c>
      <c r="D46" s="5">
        <v>45773</v>
      </c>
      <c r="E46" s="11">
        <f>E45+1</f>
        <v>45768</v>
      </c>
      <c r="F46" s="12"/>
      <c r="G46" t="s">
        <v>525</v>
      </c>
      <c r="H46" s="8">
        <f t="shared" si="8"/>
        <v>45768</v>
      </c>
    </row>
    <row r="47" spans="2:8" x14ac:dyDescent="0.3">
      <c r="C47" s="3"/>
      <c r="D47" s="3"/>
      <c r="F47" s="12" t="str">
        <f t="shared" ref="F47:F61" si="9">IF(E47=$E$56,"Pentecôte",
IF(E47=$E$57,"Sainte Trinité",
IF(E47=$E$58,"Fête-Dieu",
IF(E47=$E$90,$B$90,
IF(E47=$E$91,$B$91,
IF(E47=$E$92,$B$92,
IF(E47=$E$93,$B$93,
IF(E47=$E$94,$B$94,
IF(E47=$E$95,$B$95,
IF(E47=$E$96,$B$96,
IF(E47=$E$97,$B$97,
IF(E47=$E$98,$B$98,
IF(E47=$E$99,$B$99,
IF(E47=$E$89,$B$89,
TEXT(E47,"")))))))))))))))</f>
        <v/>
      </c>
      <c r="G47" t="str">
        <f t="shared" si="7"/>
        <v/>
      </c>
      <c r="H47" s="8" t="str">
        <f t="shared" si="8"/>
        <v/>
      </c>
    </row>
    <row r="48" spans="2:8" x14ac:dyDescent="0.3">
      <c r="B48" s="9" t="s">
        <v>30</v>
      </c>
      <c r="C48" s="3"/>
      <c r="D48" s="3"/>
      <c r="F48" s="12" t="str">
        <f t="shared" si="9"/>
        <v/>
      </c>
      <c r="G48" t="str">
        <f t="shared" si="7"/>
        <v/>
      </c>
      <c r="H48" s="8" t="str">
        <f t="shared" si="8"/>
        <v/>
      </c>
    </row>
    <row r="49" spans="2:8" x14ac:dyDescent="0.3">
      <c r="B49" s="4" t="s">
        <v>31</v>
      </c>
      <c r="C49" s="5">
        <v>45745</v>
      </c>
      <c r="D49" s="5">
        <v>45779</v>
      </c>
      <c r="E49" s="11">
        <f>E45+7</f>
        <v>45774</v>
      </c>
      <c r="F49" s="12" t="str">
        <f t="shared" si="9"/>
        <v/>
      </c>
      <c r="G49" t="str">
        <f t="shared" si="7"/>
        <v>OUI</v>
      </c>
      <c r="H49" s="8">
        <f t="shared" si="8"/>
        <v>45774</v>
      </c>
    </row>
    <row r="50" spans="2:8" x14ac:dyDescent="0.3">
      <c r="B50" s="4" t="s">
        <v>32</v>
      </c>
      <c r="C50" s="5">
        <v>45752</v>
      </c>
      <c r="D50" s="5">
        <v>45786</v>
      </c>
      <c r="E50" s="11">
        <f>E45+14</f>
        <v>45781</v>
      </c>
      <c r="F50" s="12" t="str">
        <f t="shared" si="9"/>
        <v/>
      </c>
      <c r="G50" t="str">
        <f t="shared" si="7"/>
        <v>OUI</v>
      </c>
      <c r="H50" s="8">
        <f t="shared" si="8"/>
        <v>45781</v>
      </c>
    </row>
    <row r="51" spans="2:8" x14ac:dyDescent="0.3">
      <c r="B51" s="4" t="s">
        <v>519</v>
      </c>
      <c r="C51" s="5">
        <v>45759</v>
      </c>
      <c r="D51" s="5">
        <v>45793</v>
      </c>
      <c r="E51" s="11">
        <f>E45+21</f>
        <v>45788</v>
      </c>
      <c r="F51" s="12" t="str">
        <f t="shared" si="9"/>
        <v/>
      </c>
      <c r="G51" t="str">
        <f t="shared" si="7"/>
        <v>OUI</v>
      </c>
      <c r="H51" s="8">
        <f t="shared" si="8"/>
        <v>45788</v>
      </c>
    </row>
    <row r="52" spans="2:8" x14ac:dyDescent="0.3">
      <c r="B52" s="4" t="s">
        <v>34</v>
      </c>
      <c r="C52" s="5">
        <v>45766</v>
      </c>
      <c r="D52" s="5">
        <v>45800</v>
      </c>
      <c r="E52" s="11">
        <f>E45+28</f>
        <v>45795</v>
      </c>
      <c r="F52" s="12" t="str">
        <f t="shared" si="9"/>
        <v/>
      </c>
      <c r="G52" t="str">
        <f t="shared" si="7"/>
        <v>OUI</v>
      </c>
      <c r="H52" s="8">
        <f t="shared" si="8"/>
        <v>45795</v>
      </c>
    </row>
    <row r="53" spans="2:8" x14ac:dyDescent="0.3">
      <c r="B53" s="4" t="s">
        <v>35</v>
      </c>
      <c r="C53" s="5">
        <v>45773</v>
      </c>
      <c r="D53" s="5">
        <v>45807</v>
      </c>
      <c r="E53" s="11">
        <f>E45+35</f>
        <v>45802</v>
      </c>
      <c r="F53" s="12" t="str">
        <f t="shared" si="9"/>
        <v/>
      </c>
      <c r="G53" t="str">
        <f t="shared" si="7"/>
        <v>OUI</v>
      </c>
      <c r="H53" s="8">
        <f t="shared" si="8"/>
        <v>45802</v>
      </c>
    </row>
    <row r="54" spans="2:8" x14ac:dyDescent="0.3">
      <c r="B54" s="35" t="s">
        <v>36</v>
      </c>
      <c r="C54" s="5">
        <v>45777</v>
      </c>
      <c r="D54" s="5">
        <v>45811</v>
      </c>
      <c r="E54" s="11">
        <f>E45+39</f>
        <v>45806</v>
      </c>
      <c r="F54" s="12" t="str">
        <f t="shared" si="9"/>
        <v/>
      </c>
      <c r="G54" t="s">
        <v>525</v>
      </c>
      <c r="H54" s="8">
        <f t="shared" si="8"/>
        <v>45806</v>
      </c>
    </row>
    <row r="55" spans="2:8" x14ac:dyDescent="0.3">
      <c r="B55" s="4" t="s">
        <v>37</v>
      </c>
      <c r="C55" s="5">
        <v>45780</v>
      </c>
      <c r="D55" s="5">
        <v>45814</v>
      </c>
      <c r="E55" s="11">
        <f>E45+42</f>
        <v>45809</v>
      </c>
      <c r="F55" s="12" t="str">
        <f t="shared" si="9"/>
        <v/>
      </c>
      <c r="G55" t="str">
        <f t="shared" si="7"/>
        <v>OUI</v>
      </c>
      <c r="H55" s="8">
        <f t="shared" si="8"/>
        <v>45809</v>
      </c>
    </row>
    <row r="56" spans="2:8" x14ac:dyDescent="0.3">
      <c r="B56" s="35" t="s">
        <v>38</v>
      </c>
      <c r="C56" s="5">
        <v>45787</v>
      </c>
      <c r="D56" s="5">
        <v>45821</v>
      </c>
      <c r="E56" s="11">
        <f>E45+49</f>
        <v>45816</v>
      </c>
      <c r="F56" s="12"/>
      <c r="G56" t="str">
        <f t="shared" ref="G56:G86" si="10">IF(OR(E56="", IF(F56&lt;&gt;"", IF(F56=B56, FALSE,TRUE))),IF(C56="", "","NON"),"OUI")</f>
        <v>OUI</v>
      </c>
      <c r="H56" s="8">
        <f t="shared" si="8"/>
        <v>45816</v>
      </c>
    </row>
    <row r="57" spans="2:8" x14ac:dyDescent="0.3">
      <c r="B57" s="35" t="s">
        <v>509</v>
      </c>
      <c r="C57" s="5">
        <v>45794</v>
      </c>
      <c r="D57" s="5">
        <v>45828</v>
      </c>
      <c r="E57" s="11">
        <f>E45+56</f>
        <v>45823</v>
      </c>
      <c r="F57" s="12"/>
      <c r="G57" t="str">
        <f t="shared" si="10"/>
        <v>OUI</v>
      </c>
      <c r="H57" s="8">
        <f t="shared" si="8"/>
        <v>45823</v>
      </c>
    </row>
    <row r="58" spans="2:8" x14ac:dyDescent="0.3">
      <c r="B58" s="35" t="s">
        <v>510</v>
      </c>
      <c r="C58" s="5">
        <v>45798</v>
      </c>
      <c r="D58" s="5">
        <v>45835</v>
      </c>
      <c r="E58" s="11">
        <f>E45+63</f>
        <v>45830</v>
      </c>
      <c r="F58" s="12"/>
      <c r="G58" t="str">
        <f t="shared" si="10"/>
        <v>OUI</v>
      </c>
      <c r="H58" s="8">
        <f t="shared" si="8"/>
        <v>45830</v>
      </c>
    </row>
    <row r="59" spans="2:8" x14ac:dyDescent="0.3">
      <c r="B59" s="4" t="s">
        <v>39</v>
      </c>
      <c r="C59" s="5">
        <v>45799</v>
      </c>
      <c r="D59" s="5">
        <v>45836</v>
      </c>
      <c r="E59" s="11">
        <f>E45+68</f>
        <v>45835</v>
      </c>
      <c r="F59" s="12" t="str">
        <f t="shared" si="9"/>
        <v/>
      </c>
      <c r="G59" t="str">
        <f t="shared" si="10"/>
        <v>OUI</v>
      </c>
      <c r="H59" s="8">
        <f t="shared" si="8"/>
        <v>45835</v>
      </c>
    </row>
    <row r="60" spans="2:8" x14ac:dyDescent="0.3">
      <c r="C60" s="3"/>
      <c r="D60" s="3"/>
      <c r="F60" s="12" t="str">
        <f t="shared" si="9"/>
        <v/>
      </c>
      <c r="G60" t="str">
        <f t="shared" si="10"/>
        <v/>
      </c>
      <c r="H60" s="8" t="str">
        <f t="shared" si="8"/>
        <v/>
      </c>
    </row>
    <row r="61" spans="2:8" x14ac:dyDescent="0.3">
      <c r="B61" s="9" t="s">
        <v>521</v>
      </c>
      <c r="C61" s="3"/>
      <c r="D61" s="3"/>
      <c r="F61" s="12" t="str">
        <f t="shared" si="9"/>
        <v/>
      </c>
      <c r="G61" t="str">
        <f t="shared" si="10"/>
        <v/>
      </c>
      <c r="H61" s="8" t="str">
        <f t="shared" si="8"/>
        <v/>
      </c>
    </row>
    <row r="62" spans="2:8" x14ac:dyDescent="0.3">
      <c r="B62" s="4" t="s">
        <v>41</v>
      </c>
      <c r="C62" s="7">
        <v>45815</v>
      </c>
      <c r="D62" s="7">
        <v>45821</v>
      </c>
      <c r="E62" s="11">
        <f t="shared" ref="E62:E65" si="11">E63-7</f>
        <v>45816</v>
      </c>
      <c r="F62" s="12" t="str">
        <f t="shared" ref="F62:F63" si="12">IF(E62=$E$56,"Pentecôte",
IF(E62=$E$57,"Sainte Trinité",
IF(E62=$E$58,"Fête-Dieu",
IF(E62=$E$90,$B$90,
IF(E62=$E$91,$B$91,
IF(E62=$E$92,$B$92,
IF(E62=$E$94,$B$94,
IF(E62=$E$95,$B$95,
IF(E62=$E$96,$B$96,
IF(E62=$E$97,$B$97,
IF(E62=$E$98,$B$98,
IF(E62=$E$99,$B$99,
IF(E62=$E$89,$B$89,
TEXT(E62,""))))))))))))))</f>
        <v>Pentecôte</v>
      </c>
      <c r="G62" t="str">
        <f t="shared" si="10"/>
        <v>NON</v>
      </c>
      <c r="H62" s="8" t="str">
        <f t="shared" si="8"/>
        <v/>
      </c>
    </row>
    <row r="63" spans="2:8" x14ac:dyDescent="0.3">
      <c r="B63" s="4" t="s">
        <v>50</v>
      </c>
      <c r="C63" s="7">
        <v>45822</v>
      </c>
      <c r="D63" s="7">
        <v>45828</v>
      </c>
      <c r="E63" s="11">
        <f t="shared" si="11"/>
        <v>45823</v>
      </c>
      <c r="F63" s="12" t="str">
        <f t="shared" si="12"/>
        <v>Sainte Trinité</v>
      </c>
      <c r="G63" t="str">
        <f t="shared" si="10"/>
        <v>NON</v>
      </c>
      <c r="H63" s="8" t="str">
        <f t="shared" si="8"/>
        <v/>
      </c>
    </row>
    <row r="64" spans="2:8" x14ac:dyDescent="0.3">
      <c r="B64" s="4" t="s">
        <v>52</v>
      </c>
      <c r="C64" s="7">
        <v>45829</v>
      </c>
      <c r="D64" s="7">
        <v>45835</v>
      </c>
      <c r="E64" s="11">
        <f t="shared" si="11"/>
        <v>45830</v>
      </c>
      <c r="F64" s="12" t="str">
        <f>IF(E64=$E$56,"Pentecôte",
IF(E64=$E$57,"Sainte Trinité",
IF(E64=$E$58,"Fête-Dieu",
IF(E64=$E$90,$B$90,
IF(E64=$E$91,$B$91,
IF(E64=$E$92,$B$92,
IF(E64=$E$94,$B$94,
IF(E64=$E$95,$B$95,
IF(E64=$E$96,$B$96,
IF(E64=$E$97,$B$97,
IF(E64=$E$98,$B$98,
IF(E64=$E$99,$B$99,
IF(E64=$E$89,$B$89,
TEXT(E64,""))))))))))))))</f>
        <v>Fête-Dieu</v>
      </c>
      <c r="G64" t="str">
        <f t="shared" si="10"/>
        <v>NON</v>
      </c>
      <c r="H64" s="8" t="str">
        <f t="shared" si="8"/>
        <v/>
      </c>
    </row>
    <row r="65" spans="2:8" x14ac:dyDescent="0.3">
      <c r="B65" s="4" t="s">
        <v>51</v>
      </c>
      <c r="C65" s="7">
        <v>45836</v>
      </c>
      <c r="D65" s="7">
        <v>45842</v>
      </c>
      <c r="E65" s="11">
        <f t="shared" si="11"/>
        <v>45837</v>
      </c>
      <c r="F65" s="12" t="str">
        <f t="shared" ref="F65:F86" si="13">IF(E65=$E$56,"Pentecôte",
IF(E65=$E$57,"Sainte Trinité",
IF(E65=$E$58,"Fête-Dieu",
IF(E65=$E$90,$B$90,
IF(E65=$E$91,$B$91,
IF(E65=$E$92,$B$92,
IF(E65=$E$94,$B$94,
IF(E65=$E$95,$B$95,
IF(E65=$E$96,$B$96,
IF(E65=$E$97,$B$97,
IF(E65=$E$98,$B$98,
IF(E65=$E$99,$B$99,
IF(E65=$E$89,$B$89,
TEXT(E65,""))))))))))))))</f>
        <v>Sts Pierre et Paul</v>
      </c>
      <c r="G65" t="str">
        <f t="shared" si="10"/>
        <v>NON</v>
      </c>
      <c r="H65" s="8" t="str">
        <f t="shared" si="8"/>
        <v/>
      </c>
    </row>
    <row r="66" spans="2:8" x14ac:dyDescent="0.3">
      <c r="B66" s="4" t="s">
        <v>53</v>
      </c>
      <c r="C66" s="7">
        <v>45843</v>
      </c>
      <c r="D66" s="7">
        <v>45849</v>
      </c>
      <c r="E66" s="11">
        <f t="shared" ref="E66:E83" si="14">E67-7</f>
        <v>45844</v>
      </c>
      <c r="F66" s="12" t="str">
        <f t="shared" si="13"/>
        <v/>
      </c>
      <c r="G66" t="str">
        <f t="shared" si="10"/>
        <v>OUI</v>
      </c>
      <c r="H66" s="8">
        <f t="shared" si="8"/>
        <v>45844</v>
      </c>
    </row>
    <row r="67" spans="2:8" x14ac:dyDescent="0.3">
      <c r="B67" s="4" t="s">
        <v>54</v>
      </c>
      <c r="C67" s="7">
        <v>45850</v>
      </c>
      <c r="D67" s="7">
        <v>45856</v>
      </c>
      <c r="E67" s="11">
        <f t="shared" si="14"/>
        <v>45851</v>
      </c>
      <c r="F67" s="12" t="str">
        <f t="shared" si="13"/>
        <v/>
      </c>
      <c r="G67" t="str">
        <f t="shared" si="10"/>
        <v>OUI</v>
      </c>
      <c r="H67" s="8">
        <f t="shared" si="8"/>
        <v>45851</v>
      </c>
    </row>
    <row r="68" spans="2:8" x14ac:dyDescent="0.3">
      <c r="B68" s="4" t="s">
        <v>55</v>
      </c>
      <c r="C68" s="7">
        <v>45857</v>
      </c>
      <c r="D68" s="7">
        <v>45863</v>
      </c>
      <c r="E68" s="11">
        <f t="shared" si="14"/>
        <v>45858</v>
      </c>
      <c r="F68" s="12" t="str">
        <f t="shared" si="13"/>
        <v/>
      </c>
      <c r="G68" t="str">
        <f t="shared" si="10"/>
        <v>OUI</v>
      </c>
      <c r="H68" s="8">
        <f t="shared" si="8"/>
        <v>45858</v>
      </c>
    </row>
    <row r="69" spans="2:8" x14ac:dyDescent="0.3">
      <c r="B69" s="4" t="s">
        <v>56</v>
      </c>
      <c r="C69" s="7">
        <v>45864</v>
      </c>
      <c r="D69" s="7">
        <v>45870</v>
      </c>
      <c r="E69" s="11">
        <f t="shared" si="14"/>
        <v>45865</v>
      </c>
      <c r="F69" s="12" t="str">
        <f t="shared" si="13"/>
        <v/>
      </c>
      <c r="G69" t="str">
        <f t="shared" si="10"/>
        <v>OUI</v>
      </c>
      <c r="H69" s="8">
        <f t="shared" si="8"/>
        <v>45865</v>
      </c>
    </row>
    <row r="70" spans="2:8" ht="28.8" x14ac:dyDescent="0.3">
      <c r="B70" s="4" t="s">
        <v>57</v>
      </c>
      <c r="C70" s="7">
        <v>45871</v>
      </c>
      <c r="D70" s="7">
        <v>45877</v>
      </c>
      <c r="E70" s="11">
        <f t="shared" si="14"/>
        <v>45872</v>
      </c>
      <c r="F70" s="12" t="str">
        <f t="shared" si="13"/>
        <v/>
      </c>
      <c r="G70" t="str">
        <f t="shared" si="10"/>
        <v>OUI</v>
      </c>
      <c r="H70" s="8">
        <f t="shared" si="8"/>
        <v>45872</v>
      </c>
    </row>
    <row r="71" spans="2:8" x14ac:dyDescent="0.3">
      <c r="B71" s="4" t="s">
        <v>58</v>
      </c>
      <c r="C71" s="7">
        <v>45878</v>
      </c>
      <c r="D71" s="7">
        <v>45884</v>
      </c>
      <c r="E71" s="11">
        <f t="shared" si="14"/>
        <v>45879</v>
      </c>
      <c r="F71" s="12" t="str">
        <f t="shared" si="13"/>
        <v/>
      </c>
      <c r="G71" t="str">
        <f t="shared" si="10"/>
        <v>OUI</v>
      </c>
      <c r="H71" s="8">
        <f t="shared" ref="H71:H99" si="15">IF(G71="OUI",E71,"")</f>
        <v>45879</v>
      </c>
    </row>
    <row r="72" spans="2:8" x14ac:dyDescent="0.3">
      <c r="B72" s="4" t="s">
        <v>59</v>
      </c>
      <c r="C72" s="7">
        <v>45885</v>
      </c>
      <c r="D72" s="7">
        <v>45891</v>
      </c>
      <c r="E72" s="11">
        <f t="shared" si="14"/>
        <v>45886</v>
      </c>
      <c r="F72" s="12" t="str">
        <f t="shared" si="13"/>
        <v/>
      </c>
      <c r="G72" t="str">
        <f t="shared" si="10"/>
        <v>OUI</v>
      </c>
      <c r="H72" s="8">
        <f t="shared" si="15"/>
        <v>45886</v>
      </c>
    </row>
    <row r="73" spans="2:8" x14ac:dyDescent="0.3">
      <c r="B73" s="4" t="s">
        <v>60</v>
      </c>
      <c r="C73" s="7">
        <v>45892</v>
      </c>
      <c r="D73" s="7">
        <v>45898</v>
      </c>
      <c r="E73" s="11">
        <f t="shared" si="14"/>
        <v>45893</v>
      </c>
      <c r="F73" s="12" t="str">
        <f t="shared" si="13"/>
        <v/>
      </c>
      <c r="G73" t="str">
        <f t="shared" si="10"/>
        <v>OUI</v>
      </c>
      <c r="H73" s="8">
        <f t="shared" si="15"/>
        <v>45893</v>
      </c>
    </row>
    <row r="74" spans="2:8" x14ac:dyDescent="0.3">
      <c r="B74" s="4" t="s">
        <v>61</v>
      </c>
      <c r="C74" s="7">
        <v>45899</v>
      </c>
      <c r="D74" s="7">
        <v>45905</v>
      </c>
      <c r="E74" s="11">
        <f t="shared" si="14"/>
        <v>45900</v>
      </c>
      <c r="F74" s="12" t="str">
        <f t="shared" si="13"/>
        <v/>
      </c>
      <c r="G74" t="str">
        <f t="shared" si="10"/>
        <v>OUI</v>
      </c>
      <c r="H74" s="8">
        <f t="shared" si="15"/>
        <v>45900</v>
      </c>
    </row>
    <row r="75" spans="2:8" x14ac:dyDescent="0.3">
      <c r="B75" s="4" t="s">
        <v>62</v>
      </c>
      <c r="C75" s="7">
        <v>45906</v>
      </c>
      <c r="D75" s="7">
        <v>45912</v>
      </c>
      <c r="E75" s="11">
        <f t="shared" si="14"/>
        <v>45907</v>
      </c>
      <c r="F75" s="12" t="str">
        <f t="shared" si="13"/>
        <v/>
      </c>
      <c r="G75" t="str">
        <f t="shared" si="10"/>
        <v>OUI</v>
      </c>
      <c r="H75" s="8">
        <f t="shared" si="15"/>
        <v>45907</v>
      </c>
    </row>
    <row r="76" spans="2:8" ht="13.2" customHeight="1" x14ac:dyDescent="0.3">
      <c r="B76" s="4" t="s">
        <v>63</v>
      </c>
      <c r="C76" s="7">
        <v>45913</v>
      </c>
      <c r="D76" s="7">
        <v>45919</v>
      </c>
      <c r="E76" s="11">
        <f t="shared" si="14"/>
        <v>45914</v>
      </c>
      <c r="F76" s="12" t="str">
        <f t="shared" si="13"/>
        <v>Exaltation de la Ste Croix</v>
      </c>
      <c r="G76" t="str">
        <f t="shared" si="10"/>
        <v>NON</v>
      </c>
      <c r="H76" s="8" t="str">
        <f t="shared" si="15"/>
        <v/>
      </c>
    </row>
    <row r="77" spans="2:8" x14ac:dyDescent="0.3">
      <c r="B77" s="4" t="s">
        <v>64</v>
      </c>
      <c r="C77" s="7">
        <v>45920</v>
      </c>
      <c r="D77" s="7">
        <v>45926</v>
      </c>
      <c r="E77" s="11">
        <f t="shared" si="14"/>
        <v>45921</v>
      </c>
      <c r="F77" s="12" t="str">
        <f t="shared" si="13"/>
        <v/>
      </c>
      <c r="G77" t="str">
        <f t="shared" si="10"/>
        <v>OUI</v>
      </c>
      <c r="H77" s="8">
        <f t="shared" si="15"/>
        <v>45921</v>
      </c>
    </row>
    <row r="78" spans="2:8" x14ac:dyDescent="0.3">
      <c r="B78" s="4" t="s">
        <v>65</v>
      </c>
      <c r="C78" s="7">
        <v>45927</v>
      </c>
      <c r="D78" s="7">
        <v>45933</v>
      </c>
      <c r="E78" s="11">
        <f t="shared" si="14"/>
        <v>45928</v>
      </c>
      <c r="F78" s="12" t="str">
        <f t="shared" si="13"/>
        <v/>
      </c>
      <c r="G78" t="str">
        <f t="shared" si="10"/>
        <v>OUI</v>
      </c>
      <c r="H78" s="8">
        <f t="shared" si="15"/>
        <v>45928</v>
      </c>
    </row>
    <row r="79" spans="2:8" x14ac:dyDescent="0.3">
      <c r="B79" s="4" t="s">
        <v>66</v>
      </c>
      <c r="C79" s="7">
        <v>45934</v>
      </c>
      <c r="D79" s="7">
        <v>45940</v>
      </c>
      <c r="E79" s="11">
        <f t="shared" si="14"/>
        <v>45935</v>
      </c>
      <c r="F79" s="12" t="str">
        <f t="shared" si="13"/>
        <v/>
      </c>
      <c r="G79" t="str">
        <f t="shared" si="10"/>
        <v>OUI</v>
      </c>
      <c r="H79" s="8">
        <f t="shared" si="15"/>
        <v>45935</v>
      </c>
    </row>
    <row r="80" spans="2:8" x14ac:dyDescent="0.3">
      <c r="B80" s="4" t="s">
        <v>67</v>
      </c>
      <c r="C80" s="7">
        <v>45941</v>
      </c>
      <c r="D80" s="7">
        <v>45947</v>
      </c>
      <c r="E80" s="11">
        <f t="shared" si="14"/>
        <v>45942</v>
      </c>
      <c r="F80" s="12" t="str">
        <f t="shared" si="13"/>
        <v/>
      </c>
      <c r="G80" t="str">
        <f t="shared" si="10"/>
        <v>OUI</v>
      </c>
      <c r="H80" s="8">
        <f t="shared" si="15"/>
        <v>45942</v>
      </c>
    </row>
    <row r="81" spans="2:8" x14ac:dyDescent="0.3">
      <c r="B81" s="4" t="s">
        <v>68</v>
      </c>
      <c r="C81" s="7">
        <v>45948</v>
      </c>
      <c r="D81" s="7">
        <v>45954</v>
      </c>
      <c r="E81" s="11">
        <f t="shared" si="14"/>
        <v>45949</v>
      </c>
      <c r="F81" s="12" t="str">
        <f t="shared" si="13"/>
        <v/>
      </c>
      <c r="G81" t="str">
        <f t="shared" si="10"/>
        <v>OUI</v>
      </c>
      <c r="H81" s="8">
        <f t="shared" si="15"/>
        <v>45949</v>
      </c>
    </row>
    <row r="82" spans="2:8" x14ac:dyDescent="0.3">
      <c r="B82" s="4" t="s">
        <v>69</v>
      </c>
      <c r="C82" s="7">
        <v>45955</v>
      </c>
      <c r="D82" s="7">
        <v>45961</v>
      </c>
      <c r="E82" s="11">
        <f t="shared" si="14"/>
        <v>45956</v>
      </c>
      <c r="F82" s="12" t="str">
        <f t="shared" si="13"/>
        <v/>
      </c>
      <c r="G82" t="str">
        <f t="shared" si="10"/>
        <v>OUI</v>
      </c>
      <c r="H82" s="8">
        <f t="shared" si="15"/>
        <v>45956</v>
      </c>
    </row>
    <row r="83" spans="2:8" x14ac:dyDescent="0.3">
      <c r="B83" s="4" t="s">
        <v>70</v>
      </c>
      <c r="C83" s="7">
        <v>45962</v>
      </c>
      <c r="D83" s="7">
        <v>45968</v>
      </c>
      <c r="E83" s="11">
        <f t="shared" si="14"/>
        <v>45963</v>
      </c>
      <c r="F83" s="12" t="str">
        <f t="shared" si="13"/>
        <v>Commémoration défunts</v>
      </c>
      <c r="G83" t="str">
        <f t="shared" si="10"/>
        <v>NON</v>
      </c>
      <c r="H83" s="8" t="str">
        <f t="shared" si="15"/>
        <v/>
      </c>
    </row>
    <row r="84" spans="2:8" x14ac:dyDescent="0.3">
      <c r="B84" s="4" t="s">
        <v>71</v>
      </c>
      <c r="C84" s="7">
        <v>45969</v>
      </c>
      <c r="D84" s="7">
        <v>45975</v>
      </c>
      <c r="E84" s="11">
        <f>E85-7</f>
        <v>45970</v>
      </c>
      <c r="F84" s="12" t="str">
        <f t="shared" si="13"/>
        <v/>
      </c>
      <c r="G84" t="str">
        <f t="shared" si="10"/>
        <v>OUI</v>
      </c>
      <c r="H84" s="8">
        <f t="shared" si="15"/>
        <v>45970</v>
      </c>
    </row>
    <row r="85" spans="2:8" x14ac:dyDescent="0.3">
      <c r="B85" s="4" t="s">
        <v>72</v>
      </c>
      <c r="C85" s="7">
        <v>45976</v>
      </c>
      <c r="D85" s="7">
        <v>45982</v>
      </c>
      <c r="E85" s="11">
        <f>E86-7</f>
        <v>45977</v>
      </c>
      <c r="F85" s="12" t="str">
        <f t="shared" si="13"/>
        <v/>
      </c>
      <c r="G85" t="str">
        <f t="shared" si="10"/>
        <v>OUI</v>
      </c>
      <c r="H85" s="8">
        <f t="shared" si="15"/>
        <v>45977</v>
      </c>
    </row>
    <row r="86" spans="2:8" x14ac:dyDescent="0.3">
      <c r="B86" s="4" t="s">
        <v>42</v>
      </c>
      <c r="C86" s="5">
        <v>45981</v>
      </c>
      <c r="D86" s="5">
        <v>45987</v>
      </c>
      <c r="E86" s="11">
        <f>DATE(A5,12,25)-MOD(WEEKDAY(DATE(A5,12,25),2)+21,7)-28</f>
        <v>45984</v>
      </c>
      <c r="F86" s="12" t="str">
        <f t="shared" si="13"/>
        <v/>
      </c>
      <c r="G86" t="str">
        <f t="shared" si="10"/>
        <v>OUI</v>
      </c>
      <c r="H86" s="8">
        <f t="shared" si="15"/>
        <v>45984</v>
      </c>
    </row>
    <row r="87" spans="2:8" x14ac:dyDescent="0.3">
      <c r="C87" s="3"/>
      <c r="D87" s="3"/>
      <c r="H87" s="8" t="str">
        <f t="shared" si="15"/>
        <v/>
      </c>
    </row>
    <row r="88" spans="2:8" x14ac:dyDescent="0.3">
      <c r="B88" s="9" t="s">
        <v>43</v>
      </c>
      <c r="H88" s="8" t="str">
        <f t="shared" si="15"/>
        <v/>
      </c>
    </row>
    <row r="89" spans="2:8" x14ac:dyDescent="0.3">
      <c r="B89" s="4" t="s">
        <v>49</v>
      </c>
      <c r="C89" s="20"/>
      <c r="E89" s="11">
        <f>DATE($A$5-1,12,8)</f>
        <v>45634</v>
      </c>
      <c r="G89" t="str">
        <f t="shared" ref="G89" si="16">IF(F89&lt;&gt;"","NON","OUI")</f>
        <v>OUI</v>
      </c>
      <c r="H89" s="8">
        <f t="shared" ref="H89" si="17">IF(G89="OUI",E89,"")</f>
        <v>45634</v>
      </c>
    </row>
    <row r="90" spans="2:8" x14ac:dyDescent="0.3">
      <c r="B90" s="13" t="s">
        <v>73</v>
      </c>
      <c r="C90" s="20"/>
      <c r="E90" s="11">
        <f>DATE($A$5,2,2)</f>
        <v>45690</v>
      </c>
      <c r="G90" t="str">
        <f t="shared" ref="G90:G99" si="18">IF(F90&lt;&gt;"","NON","OUI")</f>
        <v>OUI</v>
      </c>
      <c r="H90" s="8">
        <f t="shared" si="15"/>
        <v>45690</v>
      </c>
    </row>
    <row r="91" spans="2:8" x14ac:dyDescent="0.3">
      <c r="B91" s="13" t="s">
        <v>83</v>
      </c>
      <c r="C91" s="20"/>
      <c r="E91" s="11">
        <f>DATE($A$5,3,19)</f>
        <v>45735</v>
      </c>
      <c r="G91" t="str">
        <f t="shared" si="18"/>
        <v>OUI</v>
      </c>
      <c r="H91" s="8">
        <f t="shared" si="15"/>
        <v>45735</v>
      </c>
    </row>
    <row r="92" spans="2:8" x14ac:dyDescent="0.3">
      <c r="B92" s="13" t="s">
        <v>44</v>
      </c>
      <c r="C92" s="20"/>
      <c r="E92" s="11">
        <f>IF(AND($B$105&gt;=$E$45-7,$B$105&lt;=$E$45+7),$E$45+8,$B$105)</f>
        <v>45741</v>
      </c>
      <c r="G92" t="str">
        <f t="shared" si="18"/>
        <v>OUI</v>
      </c>
      <c r="H92" s="8">
        <f t="shared" si="15"/>
        <v>45741</v>
      </c>
    </row>
    <row r="93" spans="2:8" x14ac:dyDescent="0.3">
      <c r="B93" s="13" t="s">
        <v>45</v>
      </c>
      <c r="C93" s="20"/>
      <c r="E93" s="11">
        <f>DATE($A$5,6,24)</f>
        <v>45832</v>
      </c>
      <c r="G93" t="str">
        <f>IF(WEEKDAY(E93,2)=7,"NON","OUI")</f>
        <v>OUI</v>
      </c>
      <c r="H93" s="8">
        <f t="shared" si="15"/>
        <v>45832</v>
      </c>
    </row>
    <row r="94" spans="2:8" x14ac:dyDescent="0.3">
      <c r="B94" s="13" t="s">
        <v>84</v>
      </c>
      <c r="C94" s="20"/>
      <c r="E94" s="11">
        <f>DATE($A$5,6,29)</f>
        <v>45837</v>
      </c>
      <c r="G94" t="str">
        <f t="shared" si="18"/>
        <v>OUI</v>
      </c>
      <c r="H94" s="8">
        <f t="shared" si="15"/>
        <v>45837</v>
      </c>
    </row>
    <row r="95" spans="2:8" x14ac:dyDescent="0.3">
      <c r="B95" s="4" t="s">
        <v>46</v>
      </c>
      <c r="C95" s="20"/>
      <c r="E95" s="11">
        <f>DATE($A$5,8,6)</f>
        <v>45875</v>
      </c>
      <c r="G95" t="str">
        <f t="shared" si="18"/>
        <v>OUI</v>
      </c>
      <c r="H95" s="8">
        <f t="shared" si="15"/>
        <v>45875</v>
      </c>
    </row>
    <row r="96" spans="2:8" x14ac:dyDescent="0.3">
      <c r="B96" s="4" t="s">
        <v>47</v>
      </c>
      <c r="C96" s="20"/>
      <c r="E96" s="11">
        <f>DATE($A$5,8,15)</f>
        <v>45884</v>
      </c>
      <c r="G96" t="str">
        <f t="shared" si="18"/>
        <v>OUI</v>
      </c>
      <c r="H96" s="8">
        <f t="shared" si="15"/>
        <v>45884</v>
      </c>
    </row>
    <row r="97" spans="1:8" x14ac:dyDescent="0.3">
      <c r="B97" s="4" t="s">
        <v>85</v>
      </c>
      <c r="C97" s="20"/>
      <c r="E97" s="11">
        <f>DATE($A$5,9,14)</f>
        <v>45914</v>
      </c>
      <c r="G97" t="str">
        <f t="shared" si="18"/>
        <v>OUI</v>
      </c>
      <c r="H97" s="8">
        <f t="shared" si="15"/>
        <v>45914</v>
      </c>
    </row>
    <row r="98" spans="1:8" x14ac:dyDescent="0.3">
      <c r="B98" s="4" t="s">
        <v>48</v>
      </c>
      <c r="C98" s="20"/>
      <c r="E98" s="11">
        <f>DATE($A$5,11,1)</f>
        <v>45962</v>
      </c>
      <c r="G98" t="str">
        <f t="shared" si="18"/>
        <v>OUI</v>
      </c>
      <c r="H98" s="8">
        <f t="shared" si="15"/>
        <v>45962</v>
      </c>
    </row>
    <row r="99" spans="1:8" x14ac:dyDescent="0.3">
      <c r="B99" s="4" t="s">
        <v>514</v>
      </c>
      <c r="C99" s="20"/>
      <c r="E99" s="11">
        <f>DATE($A$5,11,2)</f>
        <v>45963</v>
      </c>
      <c r="G99" t="str">
        <f t="shared" si="18"/>
        <v>OUI</v>
      </c>
      <c r="H99" s="8">
        <f t="shared" si="15"/>
        <v>45963</v>
      </c>
    </row>
    <row r="102" spans="1:8" x14ac:dyDescent="0.3">
      <c r="A102" s="1"/>
      <c r="B102" s="11"/>
      <c r="C102"/>
      <c r="D102"/>
      <c r="E102"/>
    </row>
    <row r="103" spans="1:8" x14ac:dyDescent="0.3">
      <c r="A103" s="1"/>
      <c r="B103" t="s">
        <v>44</v>
      </c>
      <c r="C103"/>
      <c r="D103"/>
      <c r="E103"/>
    </row>
    <row r="104" spans="1:8" x14ac:dyDescent="0.3">
      <c r="A104" s="1"/>
      <c r="B104" s="2" t="s">
        <v>526</v>
      </c>
      <c r="C104"/>
      <c r="D104"/>
      <c r="E104"/>
    </row>
    <row r="105" spans="1:8" x14ac:dyDescent="0.3">
      <c r="A105" s="1"/>
      <c r="B105" s="8">
        <f>DATE(A5,3,25)</f>
        <v>45741</v>
      </c>
      <c r="C105"/>
      <c r="D105"/>
      <c r="E105"/>
    </row>
    <row r="106" spans="1:8" x14ac:dyDescent="0.3">
      <c r="A106" s="1"/>
      <c r="B106" s="11"/>
      <c r="C106"/>
      <c r="D106"/>
      <c r="E106"/>
    </row>
    <row r="107" spans="1:8" x14ac:dyDescent="0.3">
      <c r="A107" s="1"/>
      <c r="B107"/>
      <c r="C107"/>
      <c r="D107"/>
      <c r="E107"/>
    </row>
    <row r="108" spans="1:8" x14ac:dyDescent="0.3">
      <c r="E108"/>
    </row>
    <row r="109" spans="1:8" x14ac:dyDescent="0.3">
      <c r="E109"/>
    </row>
    <row r="110" spans="1:8" x14ac:dyDescent="0.3">
      <c r="E110"/>
    </row>
    <row r="111" spans="1:8" x14ac:dyDescent="0.3">
      <c r="E111"/>
    </row>
    <row r="112" spans="1:8" x14ac:dyDescent="0.3">
      <c r="E112"/>
    </row>
    <row r="113" spans="5:5" x14ac:dyDescent="0.3">
      <c r="E113"/>
    </row>
  </sheetData>
  <conditionalFormatting sqref="B6:E91 B93:E99 B92:D92">
    <cfRule type="expression" dxfId="2" priority="4">
      <formula>$G6="NON"</formula>
    </cfRule>
  </conditionalFormatting>
  <conditionalFormatting sqref="H6:H99">
    <cfRule type="expression" dxfId="1" priority="211">
      <formula>AND(H6=MIN(IF($H$6:$H$99&gt;TODAY(),$H$6:$H$99)),H6&gt;TODAY())</formula>
    </cfRule>
  </conditionalFormatting>
  <conditionalFormatting sqref="A1:B1">
    <cfRule type="expression" dxfId="0" priority="212">
      <formula>COUNTIF(A2:A23,D1048576)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ancerScriptPourSelection">
                <anchor moveWithCells="1" sizeWithCells="1">
                  <from>
                    <xdr:col>8</xdr:col>
                    <xdr:colOff>373380</xdr:colOff>
                    <xdr:row>94</xdr:row>
                    <xdr:rowOff>45720</xdr:rowOff>
                  </from>
                  <to>
                    <xdr:col>9</xdr:col>
                    <xdr:colOff>2423160</xdr:colOff>
                    <xdr:row>98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8dfaefe1-753e-4ef8-b700-def26fcd8990}" enabled="0" method="" siteId="{8dfaefe1-753e-4ef8-b700-def26fcd899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Florian MAILLARD</dc:creator>
  <cp:lastModifiedBy>Florian MAILLARD</cp:lastModifiedBy>
  <dcterms:created xsi:type="dcterms:W3CDTF">2025-03-31T09:44:19Z</dcterms:created>
  <dcterms:modified xsi:type="dcterms:W3CDTF">2025-05-31T06:59:38Z</dcterms:modified>
</cp:coreProperties>
</file>